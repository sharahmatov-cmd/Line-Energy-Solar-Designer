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Inputs" sheetId="1" r:id="rId1"/>
    <sheet name="Results" sheetId="2" r:id="rId2"/>
    <sheet name="Inverters" sheetId="3" r:id="rId3"/>
    <sheet name="Panels" sheetId="4" r:id="rId4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4"/>
      <color rgb="FF1F293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0" ySplit="2" topLeftCell="A3" activePane="bottomRight" state="frozen"/>
    </sheetView>
  </sheetViews>
  <sheetFormatPr defaultRowHeight="16"/>
  <cols>
    <col min="1" max="1" width="32" customWidth="1"/>
    <col min="2" max="2" width="28" customWidth="1"/>
    <col min="3" max="3" width="10" customWidth="1"/>
    <col min="4" max="4" width="48" customWidth="1"/>
  </cols>
  <sheetData>
    <row r="1">
      <c r="A1" t="inlineStr" s="2">
        <is>
          <t>Line-Energy Solar Calculator</t>
        </is>
      </c>
      <c r="B1" t="inlineStr" s="2">
        <is>
          <t>v0.4.0-draft</t>
        </is>
      </c>
    </row>
    <row r="2">
      <c r="A2" t="inlineStr" s="1">
        <is>
          <t>Input</t>
        </is>
      </c>
      <c r="B2" t="inlineStr" s="1">
        <is>
          <t>Value</t>
        </is>
      </c>
      <c r="C2" t="inlineStr" s="1">
        <is>
          <t>Unit</t>
        </is>
      </c>
      <c r="D2" t="inlineStr" s="1">
        <is>
          <t>Notes</t>
        </is>
      </c>
    </row>
    <row r="3">
      <c r="A3" t="inlineStr">
        <is>
          <t>Inverter model</t>
        </is>
      </c>
      <c r="B3" t="inlineStr" s="4">
        <is>
          <t>SUN-8K-SG01LP1-EU</t>
        </is>
      </c>
      <c r="C3" t="inlineStr">
        <is>
          <t/>
        </is>
      </c>
      <c r="D3" t="inlineStr">
        <is>
          <t>Choose from dropdown</t>
        </is>
      </c>
    </row>
    <row r="4">
      <c r="A4" t="inlineStr">
        <is>
          <t>Panel model</t>
        </is>
      </c>
      <c r="B4" t="inlineStr" s="4">
        <is>
          <t>JKM575N-72HL4-V</t>
        </is>
      </c>
      <c r="C4" t="inlineStr">
        <is>
          <t/>
        </is>
      </c>
      <c r="D4" t="inlineStr">
        <is>
          <t>Choose from dropdown</t>
        </is>
      </c>
    </row>
    <row r="5">
      <c r="A5" t="inlineStr">
        <is>
          <t>Minimum ambient temperature</t>
        </is>
      </c>
      <c r="B5" s="4">
        <v>-10</v>
      </c>
      <c r="C5" t="inlineStr">
        <is>
          <t>C</t>
        </is>
      </c>
      <c r="D5" t="inlineStr">
        <is>
          <t>Used for cold Voc check</t>
        </is>
      </c>
    </row>
    <row r="6">
      <c r="A6" t="inlineStr">
        <is>
          <t>Maximum cell temperature</t>
        </is>
      </c>
      <c r="B6" s="4">
        <v>70</v>
      </c>
      <c r="C6" t="inlineStr">
        <is>
          <t>C</t>
        </is>
      </c>
      <c r="D6" t="inlineStr">
        <is>
          <t>Used for hot Vmp check</t>
        </is>
      </c>
    </row>
    <row r="7">
      <c r="A7" t="inlineStr">
        <is>
          <t>Panels per string</t>
        </is>
      </c>
      <c r="B7" s="4">
        <v>8</v>
      </c>
      <c r="C7" t="inlineStr">
        <is>
          <t>pcs</t>
        </is>
      </c>
      <c r="D7" t="inlineStr">
        <is>
          <t>Series modules in one string</t>
        </is>
      </c>
    </row>
    <row r="8">
      <c r="A8" t="inlineStr">
        <is>
          <t>Strings per MPPT</t>
        </is>
      </c>
      <c r="B8" s="4">
        <v>1</v>
      </c>
      <c r="C8" t="inlineStr">
        <is>
          <t>pcs</t>
        </is>
      </c>
      <c r="D8" t="inlineStr">
        <is>
          <t>Parallel strings on one tracker</t>
        </is>
      </c>
    </row>
    <row r="9">
      <c r="A9" t="inlineStr">
        <is>
          <t>Design note</t>
        </is>
      </c>
      <c r="B9" t="inlineStr">
        <is>
          <t>Starter calculation only</t>
        </is>
      </c>
      <c r="C9" t="inlineStr">
        <is>
          <t/>
        </is>
      </c>
      <c r="D9" t="inlineStr">
        <is>
          <t>Verify datasheets before commercial use</t>
        </is>
      </c>
    </row>
  </sheetData>
  <dataValidations count="2">
    <dataValidation type="list" allowBlank="0" showInputMessage="1" sqref="B3" promptTitle="Inverter" prompt="Choose inverter model">
      <formula1>Inverters!$C$2:$C$83</formula1>
    </dataValidation>
    <dataValidation type="list" allowBlank="0" showInputMessage="1" sqref="B4" promptTitle="Panel" prompt="Choose panel model">
      <formula1>Panels!$C$2:$C$11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>
      <pane xSplit="0" ySplit="1" topLeftCell="A2" activePane="bottomRight" state="frozen"/>
    </sheetView>
  </sheetViews>
  <sheetFormatPr defaultRowHeight="16"/>
  <cols>
    <col min="1" max="1" width="38" customWidth="1"/>
    <col min="2" max="2" width="24" customWidth="1"/>
    <col min="3" max="3" width="10" customWidth="1"/>
    <col min="4" max="4" width="56" customWidth="1"/>
  </cols>
  <sheetData>
    <row r="1">
      <c r="A1" t="inlineStr" s="1">
        <is>
          <t>Result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Inverter model</t>
        </is>
      </c>
      <c r="B2" s="3">
        <f>Inputs!B3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Panel model</t>
        </is>
      </c>
      <c r="B3" s="3">
        <f>Inputs!B4</f>
      </c>
      <c r="C3" t="inlineStr">
        <is>
          <t/>
        </is>
      </c>
      <c r="D3" t="inlineStr">
        <is>
          <t>From Inputs</t>
        </is>
      </c>
    </row>
    <row r="4">
      <c r="A4" t="inlineStr">
        <is>
          <t>Panels per string</t>
        </is>
      </c>
      <c r="B4" s="3">
        <f>Inputs!B7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Strings per MPPT</t>
        </is>
      </c>
      <c r="B5" s="3">
        <f>Inputs!B8</f>
      </c>
      <c r="C5" t="inlineStr">
        <is>
          <t>pcs</t>
        </is>
      </c>
      <c r="D5" t="inlineStr">
        <is>
          <t>From Inputs</t>
        </is>
      </c>
    </row>
    <row r="6">
      <c r="A6" t="inlineStr">
        <is>
          <t>Max PV voltage</t>
        </is>
      </c>
      <c r="B6" s="3">
        <f>INDEX(Inverters!G:G,MATCH(B2,Inverters!C:C,0))</f>
      </c>
      <c r="C6" t="inlineStr">
        <is>
          <t>V</t>
        </is>
      </c>
      <c r="D6" t="inlineStr">
        <is>
          <t>Inverter absolute PV voltage limit</t>
        </is>
      </c>
    </row>
    <row r="7">
      <c r="A7" t="inlineStr">
        <is>
          <t>MPPT min voltage</t>
        </is>
      </c>
      <c r="B7" s="3">
        <f>INDEX(Inverters!I:I,MATCH(B2,Inverters!C:C,0))</f>
      </c>
      <c r="C7" t="inlineStr">
        <is>
          <t>V</t>
        </is>
      </c>
      <c r="D7" t="inlineStr">
        <is>
          <t>Inverter lower MPPT voltage</t>
        </is>
      </c>
    </row>
    <row r="8">
      <c r="A8" t="inlineStr">
        <is>
          <t>MPPT max voltage</t>
        </is>
      </c>
      <c r="B8" s="3">
        <f>INDEX(Inverters!J:J,MATCH(B2,Inverters!C:C,0))</f>
      </c>
      <c r="C8" t="inlineStr">
        <is>
          <t>V</t>
        </is>
      </c>
      <c r="D8" t="inlineStr">
        <is>
          <t>Inverter upper MPPT voltage</t>
        </is>
      </c>
    </row>
    <row r="9">
      <c r="A9" t="inlineStr">
        <is>
          <t>Max input current per MPPT</t>
        </is>
      </c>
      <c r="B9" s="3">
        <f>INDEX(Inverters!M:M,MATCH(B2,Inverters!C:C,0))</f>
      </c>
      <c r="C9" t="inlineStr">
        <is>
          <t>A</t>
        </is>
      </c>
      <c r="D9" t="inlineStr">
        <is>
          <t>Inverter current limit</t>
        </is>
      </c>
    </row>
    <row r="10">
      <c r="A10" t="inlineStr">
        <is>
          <t>Panel Voc STC</t>
        </is>
      </c>
      <c r="B10" s="3">
        <f>INDEX(Panels!G:G,MATCH(B3,Panels!C:C,0))</f>
      </c>
      <c r="C10" t="inlineStr">
        <is>
          <t>V</t>
        </is>
      </c>
      <c r="D10" t="inlineStr">
        <is>
          <t>Open-circuit voltage at STC</t>
        </is>
      </c>
    </row>
    <row r="11">
      <c r="A11" t="inlineStr">
        <is>
          <t>Panel Vmp STC</t>
        </is>
      </c>
      <c r="B11" s="3">
        <f>INDEX(Panels!E:E,MATCH(B3,Panels!C:C,0))</f>
      </c>
      <c r="C11" t="inlineStr">
        <is>
          <t>V</t>
        </is>
      </c>
      <c r="D11" t="inlineStr">
        <is>
          <t>Voltage at maximum power at STC</t>
        </is>
      </c>
    </row>
    <row r="12">
      <c r="A12" t="inlineStr">
        <is>
          <t>Panel Imp STC</t>
        </is>
      </c>
      <c r="B12" s="3">
        <f>INDEX(Panels!F:F,MATCH(B3,Panels!C:C,0))</f>
      </c>
      <c r="C12" t="inlineStr">
        <is>
          <t>A</t>
        </is>
      </c>
      <c r="D12" t="inlineStr">
        <is>
          <t>Current at maximum power at STC</t>
        </is>
      </c>
    </row>
    <row r="13">
      <c r="A13" t="inlineStr">
        <is>
          <t>Panel voltage temperature coefficient</t>
        </is>
      </c>
      <c r="B13" s="3">
        <f>INDEX(Panels!J:J,MATCH(B3,Panels!C:C,0))</f>
      </c>
      <c r="C13" t="inlineStr">
        <is>
          <t>%/C</t>
        </is>
      </c>
      <c r="D13" t="inlineStr">
        <is>
          <t>Preliminary voltage correction</t>
        </is>
      </c>
    </row>
    <row r="14">
      <c r="A14" t="inlineStr">
        <is>
          <t>Cold Voc per panel</t>
        </is>
      </c>
      <c r="B14" s="3">
        <f>B10*(1+(B13/100)*(Inputs!B5-25))</f>
      </c>
      <c r="C14" t="inlineStr">
        <is>
          <t>V</t>
        </is>
      </c>
      <c r="D14" t="inlineStr">
        <is>
          <t>Voc at minimum temperature</t>
        </is>
      </c>
    </row>
    <row r="15">
      <c r="A15" t="inlineStr">
        <is>
          <t>Hot Vmp per panel</t>
        </is>
      </c>
      <c r="B15" s="3">
        <f>B11*(1+(B13/100)*(Inputs!B6-25))</f>
      </c>
      <c r="C15" t="inlineStr">
        <is>
          <t>V</t>
        </is>
      </c>
      <c r="D15" t="inlineStr">
        <is>
          <t>Vmp at maximum cell temperature</t>
        </is>
      </c>
    </row>
    <row r="16">
      <c r="A16" t="inlineStr">
        <is>
          <t>Cold string Voc</t>
        </is>
      </c>
      <c r="B16" s="3">
        <f>B14*B4</f>
      </c>
      <c r="C16" t="inlineStr">
        <is>
          <t>V</t>
        </is>
      </c>
      <c r="D16" t="inlineStr">
        <is>
          <t>Cold Voc per panel x panels per string</t>
        </is>
      </c>
    </row>
    <row r="17">
      <c r="A17" t="inlineStr">
        <is>
          <t>Hot string Vmp</t>
        </is>
      </c>
      <c r="B17" s="3">
        <f>B15*B4</f>
      </c>
      <c r="C17" t="inlineStr">
        <is>
          <t>V</t>
        </is>
      </c>
      <c r="D17" t="inlineStr">
        <is>
          <t>Hot Vmp per panel x panels per string</t>
        </is>
      </c>
    </row>
    <row r="18">
      <c r="A18" t="inlineStr">
        <is>
          <t>Minimum panels per string by MPPT</t>
        </is>
      </c>
      <c r="B18" s="3">
        <f>ROUNDUP(B7/B15,0)</f>
      </c>
      <c r="C18" t="inlineStr">
        <is>
          <t>pcs</t>
        </is>
      </c>
      <c r="D18" t="inlineStr">
        <is>
          <t>Ceiling of MPPT min / hot Vmp per panel</t>
        </is>
      </c>
    </row>
    <row r="19">
      <c r="A19" t="inlineStr">
        <is>
          <t>Maximum panels per string by MPPT</t>
        </is>
      </c>
      <c r="B19" s="3">
        <f>ROUNDDOWN(B8/B15,0)</f>
      </c>
      <c r="C19" t="inlineStr">
        <is>
          <t>pcs</t>
        </is>
      </c>
      <c r="D19" t="inlineStr">
        <is>
          <t>Floor of MPPT max / hot Vmp per panel</t>
        </is>
      </c>
    </row>
    <row r="20">
      <c r="A20" t="inlineStr">
        <is>
          <t>Maximum panels per string by PV voltage</t>
        </is>
      </c>
      <c r="B20" s="3">
        <f>ROUNDDOWN(B6/B14,0)</f>
      </c>
      <c r="C20" t="inlineStr">
        <is>
          <t>pcs</t>
        </is>
      </c>
      <c r="D20" t="inlineStr">
        <is>
          <t>Floor of max PV voltage / cold Voc per panel</t>
        </is>
      </c>
    </row>
    <row r="21">
      <c r="A21" t="inlineStr">
        <is>
          <t>Recommended panels per string range</t>
        </is>
      </c>
      <c r="B21" s="3">
        <f>B18&amp;" - "&amp;MIN(B19,B20)</f>
      </c>
      <c r="C21" t="inlineStr">
        <is>
          <t>pcs</t>
        </is>
      </c>
      <c r="D21" t="inlineStr">
        <is>
          <t>Minimum to safest maximum</t>
        </is>
      </c>
    </row>
    <row r="22">
      <c r="A22" t="inlineStr">
        <is>
          <t>MPPT operating check</t>
        </is>
      </c>
      <c r="B22" s="3">
        <f>IF(AND(B17&gt;=B7,B17&lt;=B8),"PASS","FAIL")</f>
      </c>
      <c r="C22" t="inlineStr">
        <is>
          <t/>
        </is>
      </c>
      <c r="D22" t="inlineStr">
        <is>
          <t>Hot Vmp must stay inside MPPT window</t>
        </is>
      </c>
    </row>
    <row r="23">
      <c r="A23" t="inlineStr">
        <is>
          <t>Max voltage check</t>
        </is>
      </c>
      <c r="B23" s="3">
        <f>IF(B16&lt;B6,"PASS","FAIL")</f>
      </c>
      <c r="C23" t="inlineStr">
        <is>
          <t/>
        </is>
      </c>
      <c r="D23" t="inlineStr">
        <is>
          <t>Cold Voc must stay below max PV voltage</t>
        </is>
      </c>
    </row>
    <row r="24">
      <c r="A24" t="inlineStr">
        <is>
          <t>Current check</t>
        </is>
      </c>
      <c r="B24" s="3">
        <f>IF(B12*B5&lt;=B9,"PASS","FAIL")</f>
      </c>
      <c r="C24" t="inlineStr">
        <is>
          <t/>
        </is>
      </c>
      <c r="D24" t="inlineStr">
        <is>
          <t>Parallel string current must stay below MPPT current</t>
        </is>
      </c>
    </row>
    <row r="25">
      <c r="A25" t="inlineStr">
        <is>
          <t>Overall preliminary status</t>
        </is>
      </c>
      <c r="B25" s="3">
        <f>IF(AND(B22="PASS",B23="PASS",B24="PASS"),"PASS","FAIL")</f>
      </c>
      <c r="C25" t="inlineStr">
        <is>
          <t/>
        </is>
      </c>
      <c r="D25" t="inlineStr">
        <is>
          <t>All checks must pass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83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8" customWidth="1"/>
    <col min="3" max="3" width="24" customWidth="1"/>
    <col min="18" max="18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phase</t>
        </is>
      </c>
      <c r="E1" t="inlineStr" s="1">
        <is>
          <t>nominal_ac_power_w</t>
        </is>
      </c>
      <c r="F1" t="inlineStr" s="1">
        <is>
          <t>max_pv_input_power_w</t>
        </is>
      </c>
      <c r="G1" t="inlineStr" s="1">
        <is>
          <t>max_pv_voltage_v</t>
        </is>
      </c>
      <c r="H1" t="inlineStr" s="1">
        <is>
          <t>startup_voltage_v</t>
        </is>
      </c>
      <c r="I1" t="inlineStr" s="1">
        <is>
          <t>mppt_voltage_min_v</t>
        </is>
      </c>
      <c r="J1" t="inlineStr" s="1">
        <is>
          <t>mppt_voltage_max_v</t>
        </is>
      </c>
      <c r="K1" t="inlineStr" s="1">
        <is>
          <t>mppt_count</t>
        </is>
      </c>
      <c r="L1" t="inlineStr" s="1">
        <is>
          <t>strings_per_mppt</t>
        </is>
      </c>
      <c r="M1" t="inlineStr" s="1">
        <is>
          <t>max_input_current_per_mppt_a</t>
        </is>
      </c>
      <c r="N1" t="inlineStr" s="1">
        <is>
          <t>max_short_circuit_current_per_mppt_a</t>
        </is>
      </c>
      <c r="O1" t="inlineStr" s="1">
        <is>
          <t>battery_nominal_voltage_v</t>
        </is>
      </c>
      <c r="P1" t="inlineStr" s="1">
        <is>
          <t>battery_voltage_range_v</t>
        </is>
      </c>
      <c r="Q1" t="inlineStr" s="1">
        <is>
          <t>data_status</t>
        </is>
      </c>
      <c r="R1" t="inlineStr" s="1">
        <is>
          <t>notes</t>
        </is>
      </c>
    </row>
    <row r="2">
      <c r="A2" t="inlineStr">
        <is>
          <t>Deye</t>
        </is>
      </c>
      <c r="B2" t="inlineStr">
        <is>
          <t>Hybrid LV 24V</t>
        </is>
      </c>
      <c r="C2" t="inlineStr">
        <is>
          <t>SUN-3K-SG04LP1-24-EU</t>
        </is>
      </c>
      <c r="D2" t="inlineStr">
        <is>
          <t>single-phase</t>
        </is>
      </c>
      <c r="E2">
        <v>3000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>
        <v>24</v>
      </c>
      <c r="P2" t="inlineStr">
        <is>
          <t/>
        </is>
      </c>
      <c r="Q2" t="inlineStr">
        <is>
          <t>model_only_needs_datasheet</t>
        </is>
      </c>
      <c r="R2" t="inlineStr">
        <is>
          <t>Model list provided by user; datasheet parameters pending.</t>
        </is>
      </c>
    </row>
    <row r="3">
      <c r="A3" t="inlineStr">
        <is>
          <t>Deye</t>
        </is>
      </c>
      <c r="B3" t="inlineStr">
        <is>
          <t>Hybrid LV</t>
        </is>
      </c>
      <c r="C3" t="inlineStr">
        <is>
          <t>SUN-3K-SG04LP1-EU</t>
        </is>
      </c>
      <c r="D3" t="inlineStr">
        <is>
          <t>single-phase</t>
        </is>
      </c>
      <c r="E3">
        <v>3000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>
        <v>48</v>
      </c>
      <c r="P3" t="inlineStr">
        <is>
          <t/>
        </is>
      </c>
      <c r="Q3" t="inlineStr">
        <is>
          <t>model_only_needs_datasheet</t>
        </is>
      </c>
      <c r="R3" t="inlineStr">
        <is>
          <t>Model list provided by user; datasheet parameters pending.</t>
        </is>
      </c>
    </row>
    <row r="4">
      <c r="A4" t="inlineStr">
        <is>
          <t>Deye</t>
        </is>
      </c>
      <c r="B4" t="inlineStr">
        <is>
          <t>Hybrid LV</t>
        </is>
      </c>
      <c r="C4" t="inlineStr">
        <is>
          <t>SUN-3.6K-SG05LP1-EU-AM2-P</t>
        </is>
      </c>
      <c r="D4" t="inlineStr">
        <is>
          <t>single-phase</t>
        </is>
      </c>
      <c r="E4">
        <v>3600</v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>
        <v>48</v>
      </c>
      <c r="P4" t="inlineStr">
        <is>
          <t/>
        </is>
      </c>
      <c r="Q4" t="inlineStr">
        <is>
          <t>model_only_needs_datasheet</t>
        </is>
      </c>
      <c r="R4" t="inlineStr">
        <is>
          <t>Model list provided by user; datasheet parameters pending.</t>
        </is>
      </c>
    </row>
    <row r="5">
      <c r="A5" t="inlineStr">
        <is>
          <t>Deye</t>
        </is>
      </c>
      <c r="B5" t="inlineStr">
        <is>
          <t>Hybrid LV</t>
        </is>
      </c>
      <c r="C5" t="inlineStr">
        <is>
          <t>SUN-5K-SG05LP1-EU-AM2-P</t>
        </is>
      </c>
      <c r="D5" t="inlineStr">
        <is>
          <t>single-phase</t>
        </is>
      </c>
      <c r="E5">
        <v>5000</v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>
        <v>48</v>
      </c>
      <c r="P5" t="inlineStr">
        <is>
          <t/>
        </is>
      </c>
      <c r="Q5" t="inlineStr">
        <is>
          <t>model_only_needs_datasheet</t>
        </is>
      </c>
      <c r="R5" t="inlineStr">
        <is>
          <t>Model list provided by user; datasheet parameters pending.</t>
        </is>
      </c>
    </row>
    <row r="6">
      <c r="A6" t="inlineStr">
        <is>
          <t>Deye</t>
        </is>
      </c>
      <c r="B6" t="inlineStr">
        <is>
          <t>Hybrid LV</t>
        </is>
      </c>
      <c r="C6" t="inlineStr">
        <is>
          <t>SUN-6K-SG05LP1-EU-AM2-P</t>
        </is>
      </c>
      <c r="D6" t="inlineStr">
        <is>
          <t>single-phase</t>
        </is>
      </c>
      <c r="E6">
        <v>6000</v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>
        <v>48</v>
      </c>
      <c r="P6" t="inlineStr">
        <is>
          <t/>
        </is>
      </c>
      <c r="Q6" t="inlineStr">
        <is>
          <t>model_only_needs_datasheet</t>
        </is>
      </c>
      <c r="R6" t="inlineStr">
        <is>
          <t>Model list provided by user; datasheet parameters pending.</t>
        </is>
      </c>
    </row>
    <row r="7">
      <c r="A7" t="inlineStr">
        <is>
          <t>Deye</t>
        </is>
      </c>
      <c r="B7" t="inlineStr">
        <is>
          <t>Hybrid LV</t>
        </is>
      </c>
      <c r="C7" t="inlineStr">
        <is>
          <t>SUN-8K-SG05LP1-EU-AM2-P</t>
        </is>
      </c>
      <c r="D7" t="inlineStr">
        <is>
          <t>single-phase</t>
        </is>
      </c>
      <c r="E7">
        <v>8000</v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>
        <v>48</v>
      </c>
      <c r="P7" t="inlineStr">
        <is>
          <t/>
        </is>
      </c>
      <c r="Q7" t="inlineStr">
        <is>
          <t>model_only_needs_datasheet</t>
        </is>
      </c>
      <c r="R7" t="inlineStr">
        <is>
          <t>Model list provided by user; datasheet parameters pending.</t>
        </is>
      </c>
    </row>
    <row r="8">
      <c r="A8" t="inlineStr">
        <is>
          <t>Deye</t>
        </is>
      </c>
      <c r="B8" t="inlineStr">
        <is>
          <t>Hybrid LV</t>
        </is>
      </c>
      <c r="C8" t="inlineStr">
        <is>
          <t>SUN-10K-SG02LP1-EU-AM3-P</t>
        </is>
      </c>
      <c r="D8" t="inlineStr">
        <is>
          <t>single-phase</t>
        </is>
      </c>
      <c r="E8">
        <v>10000</v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>
        <v>48</v>
      </c>
      <c r="P8" t="inlineStr">
        <is>
          <t/>
        </is>
      </c>
      <c r="Q8" t="inlineStr">
        <is>
          <t>model_only_needs_datasheet</t>
        </is>
      </c>
      <c r="R8" t="inlineStr">
        <is>
          <t>Model list provided by user; datasheet parameters pending.</t>
        </is>
      </c>
    </row>
    <row r="9">
      <c r="A9" t="inlineStr">
        <is>
          <t>Deye</t>
        </is>
      </c>
      <c r="B9" t="inlineStr">
        <is>
          <t>Hybrid LV</t>
        </is>
      </c>
      <c r="C9" t="inlineStr">
        <is>
          <t>SUN-12K-SG02LP1-EU-AM3-P</t>
        </is>
      </c>
      <c r="D9" t="inlineStr">
        <is>
          <t>single-phase</t>
        </is>
      </c>
      <c r="E9">
        <v>12000</v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>
        <v>48</v>
      </c>
      <c r="P9" t="inlineStr">
        <is>
          <t/>
        </is>
      </c>
      <c r="Q9" t="inlineStr">
        <is>
          <t>model_only_needs_datasheet</t>
        </is>
      </c>
      <c r="R9" t="inlineStr">
        <is>
          <t>Model list provided by user; datasheet parameters pending.</t>
        </is>
      </c>
    </row>
    <row r="10">
      <c r="A10" t="inlineStr">
        <is>
          <t>Deye</t>
        </is>
      </c>
      <c r="B10" t="inlineStr">
        <is>
          <t>Hybrid LV</t>
        </is>
      </c>
      <c r="C10" t="inlineStr">
        <is>
          <t>SUN-14K-SG01LP1-EU-AM3-P</t>
        </is>
      </c>
      <c r="D10" t="inlineStr">
        <is>
          <t>single-phase</t>
        </is>
      </c>
      <c r="E10">
        <v>14000</v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>
        <v>48</v>
      </c>
      <c r="P10" t="inlineStr">
        <is>
          <t/>
        </is>
      </c>
      <c r="Q10" t="inlineStr">
        <is>
          <t>model_only_needs_datasheet</t>
        </is>
      </c>
      <c r="R10" t="inlineStr">
        <is>
          <t>Model list provided by user; datasheet parameters pending.</t>
        </is>
      </c>
    </row>
    <row r="11">
      <c r="A11" t="inlineStr">
        <is>
          <t>Deye</t>
        </is>
      </c>
      <c r="B11" t="inlineStr">
        <is>
          <t>Hybrid LV</t>
        </is>
      </c>
      <c r="C11" t="inlineStr">
        <is>
          <t>SUN-16K-SG01LP1-EU-AM3-P</t>
        </is>
      </c>
      <c r="D11" t="inlineStr">
        <is>
          <t>single-phase</t>
        </is>
      </c>
      <c r="E11">
        <v>16000</v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>
        <v>48</v>
      </c>
      <c r="P11" t="inlineStr">
        <is>
          <t/>
        </is>
      </c>
      <c r="Q11" t="inlineStr">
        <is>
          <t>model_only_needs_datasheet</t>
        </is>
      </c>
      <c r="R11" t="inlineStr">
        <is>
          <t>Model list provided by user; datasheet parameters pending.</t>
        </is>
      </c>
    </row>
    <row r="12">
      <c r="A12" t="inlineStr">
        <is>
          <t>Deye</t>
        </is>
      </c>
      <c r="B12" t="inlineStr">
        <is>
          <t>Hybrid LV</t>
        </is>
      </c>
      <c r="C12" t="inlineStr">
        <is>
          <t>SUN-18K-SG01LP1-EU-AM3-P</t>
        </is>
      </c>
      <c r="D12" t="inlineStr">
        <is>
          <t>single-phase</t>
        </is>
      </c>
      <c r="E12">
        <v>18000</v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>
        <v>48</v>
      </c>
      <c r="P12" t="inlineStr">
        <is>
          <t/>
        </is>
      </c>
      <c r="Q12" t="inlineStr">
        <is>
          <t>model_only_needs_datasheet</t>
        </is>
      </c>
      <c r="R12" t="inlineStr">
        <is>
          <t>Model list provided by user; datasheet parameters pending.</t>
        </is>
      </c>
    </row>
    <row r="13">
      <c r="A13" t="inlineStr">
        <is>
          <t>Deye</t>
        </is>
      </c>
      <c r="B13" t="inlineStr">
        <is>
          <t>Hybrid LV 3P</t>
        </is>
      </c>
      <c r="C13" t="inlineStr">
        <is>
          <t>SUN-5K-SG05LP3-EU-SM2</t>
        </is>
      </c>
      <c r="D13" t="inlineStr">
        <is>
          <t>three-phase</t>
        </is>
      </c>
      <c r="E13">
        <v>5000</v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>
        <v>48</v>
      </c>
      <c r="P13" t="inlineStr">
        <is>
          <t/>
        </is>
      </c>
      <c r="Q13" t="inlineStr">
        <is>
          <t>model_only_needs_datasheet</t>
        </is>
      </c>
      <c r="R13" t="inlineStr">
        <is>
          <t>Model list provided by user; datasheet parameters pending.</t>
        </is>
      </c>
    </row>
    <row r="14">
      <c r="A14" t="inlineStr">
        <is>
          <t>Deye</t>
        </is>
      </c>
      <c r="B14" t="inlineStr">
        <is>
          <t>Hybrid LV 3P</t>
        </is>
      </c>
      <c r="C14" t="inlineStr">
        <is>
          <t>SUN-6K-SG05LP3-EU-SM2</t>
        </is>
      </c>
      <c r="D14" t="inlineStr">
        <is>
          <t>three-phase</t>
        </is>
      </c>
      <c r="E14">
        <v>6000</v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>
        <v>48</v>
      </c>
      <c r="P14" t="inlineStr">
        <is>
          <t/>
        </is>
      </c>
      <c r="Q14" t="inlineStr">
        <is>
          <t>model_only_needs_datasheet</t>
        </is>
      </c>
      <c r="R14" t="inlineStr">
        <is>
          <t>Model list provided by user; datasheet parameters pending.</t>
        </is>
      </c>
    </row>
    <row r="15">
      <c r="A15" t="inlineStr">
        <is>
          <t>Deye</t>
        </is>
      </c>
      <c r="B15" t="inlineStr">
        <is>
          <t>Hybrid LV 3P</t>
        </is>
      </c>
      <c r="C15" t="inlineStr">
        <is>
          <t>SUN-8K-SG05LP3-EU-SM2</t>
        </is>
      </c>
      <c r="D15" t="inlineStr">
        <is>
          <t>three-phase</t>
        </is>
      </c>
      <c r="E15">
        <v>8000</v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>
        <v>48</v>
      </c>
      <c r="P15" t="inlineStr">
        <is>
          <t/>
        </is>
      </c>
      <c r="Q15" t="inlineStr">
        <is>
          <t>model_only_needs_datasheet</t>
        </is>
      </c>
      <c r="R15" t="inlineStr">
        <is>
          <t>Model list provided by user; datasheet parameters pending.</t>
        </is>
      </c>
    </row>
    <row r="16">
      <c r="A16" t="inlineStr">
        <is>
          <t>Deye</t>
        </is>
      </c>
      <c r="B16" t="inlineStr">
        <is>
          <t>Hybrid LV 3P</t>
        </is>
      </c>
      <c r="C16" t="inlineStr">
        <is>
          <t>SUN-10K-SG05LP3-EU-SM2</t>
        </is>
      </c>
      <c r="D16" t="inlineStr">
        <is>
          <t>three-phase</t>
        </is>
      </c>
      <c r="E16">
        <v>10000</v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>
        <v>48</v>
      </c>
      <c r="P16" t="inlineStr">
        <is>
          <t/>
        </is>
      </c>
      <c r="Q16" t="inlineStr">
        <is>
          <t>model_only_needs_datasheet</t>
        </is>
      </c>
      <c r="R16" t="inlineStr">
        <is>
          <t>Model list provided by user; datasheet parameters pending.</t>
        </is>
      </c>
    </row>
    <row r="17">
      <c r="A17" t="inlineStr">
        <is>
          <t>Deye</t>
        </is>
      </c>
      <c r="B17" t="inlineStr">
        <is>
          <t>Hybrid LV 3P</t>
        </is>
      </c>
      <c r="C17" t="inlineStr">
        <is>
          <t>SUN-12K-SG05LP3-EU-SM2</t>
        </is>
      </c>
      <c r="D17" t="inlineStr">
        <is>
          <t>three-phase</t>
        </is>
      </c>
      <c r="E17">
        <v>12000</v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>
        <v>48</v>
      </c>
      <c r="P17" t="inlineStr">
        <is>
          <t/>
        </is>
      </c>
      <c r="Q17" t="inlineStr">
        <is>
          <t>model_only_needs_datasheet</t>
        </is>
      </c>
      <c r="R17" t="inlineStr">
        <is>
          <t>Model list provided by user; datasheet parameters pending.</t>
        </is>
      </c>
    </row>
    <row r="18">
      <c r="A18" t="inlineStr">
        <is>
          <t>Deye</t>
        </is>
      </c>
      <c r="B18" t="inlineStr">
        <is>
          <t>Hybrid LV 3P</t>
        </is>
      </c>
      <c r="C18" t="inlineStr">
        <is>
          <t>SUN-14K-SG05LP3-EU-SM2</t>
        </is>
      </c>
      <c r="D18" t="inlineStr">
        <is>
          <t>three-phase</t>
        </is>
      </c>
      <c r="E18">
        <v>14000</v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>
        <v>48</v>
      </c>
      <c r="P18" t="inlineStr">
        <is>
          <t/>
        </is>
      </c>
      <c r="Q18" t="inlineStr">
        <is>
          <t>model_only_needs_datasheet</t>
        </is>
      </c>
      <c r="R18" t="inlineStr">
        <is>
          <t>Model list provided by user; datasheet parameters pending.</t>
        </is>
      </c>
    </row>
    <row r="19">
      <c r="A19" t="inlineStr">
        <is>
          <t>Deye</t>
        </is>
      </c>
      <c r="B19" t="inlineStr">
        <is>
          <t>Hybrid LV 3P</t>
        </is>
      </c>
      <c r="C19" t="inlineStr">
        <is>
          <t>SUN-15K-SG05LP3-EU-SM2</t>
        </is>
      </c>
      <c r="D19" t="inlineStr">
        <is>
          <t>three-phase</t>
        </is>
      </c>
      <c r="E19">
        <v>15000</v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>
        <v>48</v>
      </c>
      <c r="P19" t="inlineStr">
        <is>
          <t/>
        </is>
      </c>
      <c r="Q19" t="inlineStr">
        <is>
          <t>model_only_needs_datasheet</t>
        </is>
      </c>
      <c r="R19" t="inlineStr">
        <is>
          <t>Model list provided by user; datasheet parameters pending.</t>
        </is>
      </c>
    </row>
    <row r="20">
      <c r="A20" t="inlineStr">
        <is>
          <t>Deye</t>
        </is>
      </c>
      <c r="B20" t="inlineStr">
        <is>
          <t>Hybrid LV 3P</t>
        </is>
      </c>
      <c r="C20" t="inlineStr">
        <is>
          <t>SUN-16K-SG05LP3-EU-SM2</t>
        </is>
      </c>
      <c r="D20" t="inlineStr">
        <is>
          <t>three-phase</t>
        </is>
      </c>
      <c r="E20">
        <v>16000</v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>
        <v>48</v>
      </c>
      <c r="P20" t="inlineStr">
        <is>
          <t/>
        </is>
      </c>
      <c r="Q20" t="inlineStr">
        <is>
          <t>model_only_needs_datasheet</t>
        </is>
      </c>
      <c r="R20" t="inlineStr">
        <is>
          <t>Model list provided by user; datasheet parameters pending.</t>
        </is>
      </c>
    </row>
    <row r="21">
      <c r="A21" t="inlineStr">
        <is>
          <t>Deye</t>
        </is>
      </c>
      <c r="B21" t="inlineStr">
        <is>
          <t>Hybrid LV 3P</t>
        </is>
      </c>
      <c r="C21" t="inlineStr">
        <is>
          <t>SUN-18K-SG05LP3-EU-SM2</t>
        </is>
      </c>
      <c r="D21" t="inlineStr">
        <is>
          <t>three-phase</t>
        </is>
      </c>
      <c r="E21">
        <v>18000</v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>
        <v>48</v>
      </c>
      <c r="P21" t="inlineStr">
        <is>
          <t/>
        </is>
      </c>
      <c r="Q21" t="inlineStr">
        <is>
          <t>model_only_needs_datasheet</t>
        </is>
      </c>
      <c r="R21" t="inlineStr">
        <is>
          <t>Model list provided by user; datasheet parameters pending.</t>
        </is>
      </c>
    </row>
    <row r="22">
      <c r="A22" t="inlineStr">
        <is>
          <t>Deye</t>
        </is>
      </c>
      <c r="B22" t="inlineStr">
        <is>
          <t>Hybrid LV 3P</t>
        </is>
      </c>
      <c r="C22" t="inlineStr">
        <is>
          <t>SUN-20K-SG05LP3-EU-SM2</t>
        </is>
      </c>
      <c r="D22" t="inlineStr">
        <is>
          <t>three-phase</t>
        </is>
      </c>
      <c r="E22">
        <v>20000</v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>
        <v>48</v>
      </c>
      <c r="P22" t="inlineStr">
        <is>
          <t/>
        </is>
      </c>
      <c r="Q22" t="inlineStr">
        <is>
          <t>model_only_needs_datasheet</t>
        </is>
      </c>
      <c r="R22" t="inlineStr">
        <is>
          <t>Model list provided by user; datasheet parameters pending.</t>
        </is>
      </c>
    </row>
    <row r="23">
      <c r="A23" t="inlineStr">
        <is>
          <t>Deye</t>
        </is>
      </c>
      <c r="B23" t="inlineStr">
        <is>
          <t>Hybrid HV 3P</t>
        </is>
      </c>
      <c r="C23" t="inlineStr">
        <is>
          <t>SUN-10K-SG01HP3-EU-AM2</t>
        </is>
      </c>
      <c r="D23" t="inlineStr">
        <is>
          <t>three-phase</t>
        </is>
      </c>
      <c r="E23">
        <v>10000</v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>model_only_needs_datasheet</t>
        </is>
      </c>
      <c r="R23" t="inlineStr">
        <is>
          <t>Model list provided by user; datasheet parameters pending.</t>
        </is>
      </c>
    </row>
    <row r="24">
      <c r="A24" t="inlineStr">
        <is>
          <t>Deye</t>
        </is>
      </c>
      <c r="B24" t="inlineStr">
        <is>
          <t>Hybrid HV 3P</t>
        </is>
      </c>
      <c r="C24" t="inlineStr">
        <is>
          <t>SUN-12K-SG01HP3-EU-AM2</t>
        </is>
      </c>
      <c r="D24" t="inlineStr">
        <is>
          <t>three-phase</t>
        </is>
      </c>
      <c r="E24">
        <v>12000</v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>model_only_needs_datasheet</t>
        </is>
      </c>
      <c r="R24" t="inlineStr">
        <is>
          <t>Model list provided by user; datasheet parameters pending.</t>
        </is>
      </c>
    </row>
    <row r="25">
      <c r="A25" t="inlineStr">
        <is>
          <t>Deye</t>
        </is>
      </c>
      <c r="B25" t="inlineStr">
        <is>
          <t>Hybrid HV 3P</t>
        </is>
      </c>
      <c r="C25" t="inlineStr">
        <is>
          <t>SUN-15K-SG01HP3-EU-AM2</t>
        </is>
      </c>
      <c r="D25" t="inlineStr">
        <is>
          <t>three-phase</t>
        </is>
      </c>
      <c r="E25">
        <v>15000</v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>model_only_needs_datasheet</t>
        </is>
      </c>
      <c r="R25" t="inlineStr">
        <is>
          <t>Model list provided by user; datasheet parameters pending.</t>
        </is>
      </c>
    </row>
    <row r="26">
      <c r="A26" t="inlineStr">
        <is>
          <t>Deye</t>
        </is>
      </c>
      <c r="B26" t="inlineStr">
        <is>
          <t>Hybrid HV 3P</t>
        </is>
      </c>
      <c r="C26" t="inlineStr">
        <is>
          <t>SUN-20K-SG01HP3-EU-AM2</t>
        </is>
      </c>
      <c r="D26" t="inlineStr">
        <is>
          <t>three-phase</t>
        </is>
      </c>
      <c r="E26">
        <v>20000</v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>model_only_needs_datasheet</t>
        </is>
      </c>
      <c r="R26" t="inlineStr">
        <is>
          <t>Model list provided by user; datasheet parameters pending.</t>
        </is>
      </c>
    </row>
    <row r="27">
      <c r="A27" t="inlineStr">
        <is>
          <t>Deye</t>
        </is>
      </c>
      <c r="B27" t="inlineStr">
        <is>
          <t>Hybrid HV 3P</t>
        </is>
      </c>
      <c r="C27" t="inlineStr">
        <is>
          <t>SUN-25K-SG01HP3-EU-AM2</t>
        </is>
      </c>
      <c r="D27" t="inlineStr">
        <is>
          <t>three-phase</t>
        </is>
      </c>
      <c r="E27">
        <v>25000</v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>model_only_needs_datasheet</t>
        </is>
      </c>
      <c r="R27" t="inlineStr">
        <is>
          <t>Model list provided by user; datasheet parameters pending.</t>
        </is>
      </c>
    </row>
    <row r="28">
      <c r="A28" t="inlineStr">
        <is>
          <t>Deye</t>
        </is>
      </c>
      <c r="B28" t="inlineStr">
        <is>
          <t>Hybrid HV 3P</t>
        </is>
      </c>
      <c r="C28" t="inlineStr">
        <is>
          <t>SUN-30K-SG02HP3-EU-AM3</t>
        </is>
      </c>
      <c r="D28" t="inlineStr">
        <is>
          <t>three-phase</t>
        </is>
      </c>
      <c r="E28">
        <v>30000</v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>model_only_needs_datasheet</t>
        </is>
      </c>
      <c r="R28" t="inlineStr">
        <is>
          <t>Model list provided by user; datasheet parameters pending.</t>
        </is>
      </c>
    </row>
    <row r="29">
      <c r="A29" t="inlineStr">
        <is>
          <t>Deye</t>
        </is>
      </c>
      <c r="B29" t="inlineStr">
        <is>
          <t>Hybrid HV 3P</t>
        </is>
      </c>
      <c r="C29" t="inlineStr">
        <is>
          <t>SUN-40K-SG01HP3-EU-BM4</t>
        </is>
      </c>
      <c r="D29" t="inlineStr">
        <is>
          <t>three-phase</t>
        </is>
      </c>
      <c r="E29">
        <v>40000</v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>model_only_needs_datasheet</t>
        </is>
      </c>
      <c r="R29" t="inlineStr">
        <is>
          <t>Model list provided by user; datasheet parameters pending.</t>
        </is>
      </c>
    </row>
    <row r="30">
      <c r="A30" t="inlineStr">
        <is>
          <t>Deye</t>
        </is>
      </c>
      <c r="B30" t="inlineStr">
        <is>
          <t>Hybrid HV 3P</t>
        </is>
      </c>
      <c r="C30" t="inlineStr">
        <is>
          <t>SUN-50K-SG01HP3-EU-BM4</t>
        </is>
      </c>
      <c r="D30" t="inlineStr">
        <is>
          <t>three-phase</t>
        </is>
      </c>
      <c r="E30">
        <v>50000</v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>model_only_needs_datasheet</t>
        </is>
      </c>
      <c r="R30" t="inlineStr">
        <is>
          <t>Model list provided by user; datasheet parameters pending.</t>
        </is>
      </c>
    </row>
    <row r="31">
      <c r="A31" t="inlineStr">
        <is>
          <t>Deye</t>
        </is>
      </c>
      <c r="B31" t="inlineStr">
        <is>
          <t>Hybrid HV 3P</t>
        </is>
      </c>
      <c r="C31" t="inlineStr">
        <is>
          <t>SUN-60K-SG02HP3-EU-EM6</t>
        </is>
      </c>
      <c r="D31" t="inlineStr">
        <is>
          <t>three-phase</t>
        </is>
      </c>
      <c r="E31">
        <v>60000</v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>model_only_needs_datasheet</t>
        </is>
      </c>
      <c r="R31" t="inlineStr">
        <is>
          <t>Model list provided by user; datasheet parameters pending.</t>
        </is>
      </c>
    </row>
    <row r="32">
      <c r="A32" t="inlineStr">
        <is>
          <t>Deye</t>
        </is>
      </c>
      <c r="B32" t="inlineStr">
        <is>
          <t>Hybrid HV 3P</t>
        </is>
      </c>
      <c r="C32" t="inlineStr">
        <is>
          <t>SUN-70K-SG02HP3-EU-EM6</t>
        </is>
      </c>
      <c r="D32" t="inlineStr">
        <is>
          <t>three-phase</t>
        </is>
      </c>
      <c r="E32">
        <v>70000</v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>model_only_needs_datasheet</t>
        </is>
      </c>
      <c r="R32" t="inlineStr">
        <is>
          <t>Model list provided by user; datasheet parameters pending.</t>
        </is>
      </c>
    </row>
    <row r="33">
      <c r="A33" t="inlineStr">
        <is>
          <t>Deye</t>
        </is>
      </c>
      <c r="B33" t="inlineStr">
        <is>
          <t>Hybrid HV 3P</t>
        </is>
      </c>
      <c r="C33" t="inlineStr">
        <is>
          <t>SUN-75K-SG02HP3-EU-EM6</t>
        </is>
      </c>
      <c r="D33" t="inlineStr">
        <is>
          <t>three-phase</t>
        </is>
      </c>
      <c r="E33">
        <v>75000</v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>model_only_needs_datasheet</t>
        </is>
      </c>
      <c r="R33" t="inlineStr">
        <is>
          <t>Model list provided by user; datasheet parameters pending.</t>
        </is>
      </c>
    </row>
    <row r="34">
      <c r="A34" t="inlineStr">
        <is>
          <t>Deye</t>
        </is>
      </c>
      <c r="B34" t="inlineStr">
        <is>
          <t>Hybrid HV 3P</t>
        </is>
      </c>
      <c r="C34" t="inlineStr">
        <is>
          <t>SUN-80K-SG02HP3-EU-EM6</t>
        </is>
      </c>
      <c r="D34" t="inlineStr">
        <is>
          <t>three-phase</t>
        </is>
      </c>
      <c r="E34">
        <v>80000</v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model_only_needs_datasheet</t>
        </is>
      </c>
      <c r="R34" t="inlineStr">
        <is>
          <t>Model list provided by user; datasheet parameters pending.</t>
        </is>
      </c>
    </row>
    <row r="35">
      <c r="A35" t="inlineStr">
        <is>
          <t>Deye</t>
        </is>
      </c>
      <c r="B35" t="inlineStr">
        <is>
          <t>Hybrid HV 3P</t>
        </is>
      </c>
      <c r="C35" t="inlineStr">
        <is>
          <t>SUN-100K-SG02HP3-EU-GM10</t>
        </is>
      </c>
      <c r="D35" t="inlineStr">
        <is>
          <t>three-phase</t>
        </is>
      </c>
      <c r="E35">
        <v>100000</v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>model_only_needs_datasheet</t>
        </is>
      </c>
      <c r="R35" t="inlineStr">
        <is>
          <t>Model list provided by user; datasheet parameters pending.</t>
        </is>
      </c>
    </row>
    <row r="36">
      <c r="A36" t="inlineStr">
        <is>
          <t>Deye</t>
        </is>
      </c>
      <c r="B36" t="inlineStr">
        <is>
          <t>Hybrid HV 3P</t>
        </is>
      </c>
      <c r="C36" t="inlineStr">
        <is>
          <t>SUN-125K-SG02HP3-EU-GM10</t>
        </is>
      </c>
      <c r="D36" t="inlineStr">
        <is>
          <t>three-phase</t>
        </is>
      </c>
      <c r="E36">
        <v>125000</v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>model_only_needs_datasheet</t>
        </is>
      </c>
      <c r="R36" t="inlineStr">
        <is>
          <t>Model list provided by user; datasheet parameters pending.</t>
        </is>
      </c>
    </row>
    <row r="37">
      <c r="A37" t="inlineStr">
        <is>
          <t>Deye</t>
        </is>
      </c>
      <c r="B37" t="inlineStr">
        <is>
          <t>Grid 1P</t>
        </is>
      </c>
      <c r="C37" t="inlineStr">
        <is>
          <t>SUN-1K-G04P1-EU-AM1</t>
        </is>
      </c>
      <c r="D37" t="inlineStr">
        <is>
          <t>single-phase</t>
        </is>
      </c>
      <c r="E37">
        <v>1000</v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>model_only_needs_datasheet</t>
        </is>
      </c>
      <c r="R37" t="inlineStr">
        <is>
          <t>Model list provided by user; datasheet parameters pending.</t>
        </is>
      </c>
    </row>
    <row r="38">
      <c r="A38" t="inlineStr">
        <is>
          <t>Deye</t>
        </is>
      </c>
      <c r="B38" t="inlineStr">
        <is>
          <t>Grid 1P</t>
        </is>
      </c>
      <c r="C38" t="inlineStr">
        <is>
          <t>SUN-1.5K-G04P1-EU-AM1</t>
        </is>
      </c>
      <c r="D38" t="inlineStr">
        <is>
          <t>single-phase</t>
        </is>
      </c>
      <c r="E38">
        <v>1500</v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>model_only_needs_datasheet</t>
        </is>
      </c>
      <c r="R38" t="inlineStr">
        <is>
          <t>Model list provided by user; datasheet parameters pending.</t>
        </is>
      </c>
    </row>
    <row r="39">
      <c r="A39" t="inlineStr">
        <is>
          <t>Deye</t>
        </is>
      </c>
      <c r="B39" t="inlineStr">
        <is>
          <t>Grid 1P</t>
        </is>
      </c>
      <c r="C39" t="inlineStr">
        <is>
          <t>SUN-2K-G04P1-EU-AM1</t>
        </is>
      </c>
      <c r="D39" t="inlineStr">
        <is>
          <t>single-phase</t>
        </is>
      </c>
      <c r="E39">
        <v>2000</v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>model_only_needs_datasheet</t>
        </is>
      </c>
      <c r="R39" t="inlineStr">
        <is>
          <t>Model list provided by user; datasheet parameters pending.</t>
        </is>
      </c>
    </row>
    <row r="40">
      <c r="A40" t="inlineStr">
        <is>
          <t>Deye</t>
        </is>
      </c>
      <c r="B40" t="inlineStr">
        <is>
          <t>Grid 1P</t>
        </is>
      </c>
      <c r="C40" t="inlineStr">
        <is>
          <t>SUN-3K-G04P1-EU-AM1</t>
        </is>
      </c>
      <c r="D40" t="inlineStr">
        <is>
          <t>single-phase</t>
        </is>
      </c>
      <c r="E40">
        <v>3000</v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>model_only_needs_datasheet</t>
        </is>
      </c>
      <c r="R40" t="inlineStr">
        <is>
          <t>Model list provided by user; datasheet parameters pending.</t>
        </is>
      </c>
    </row>
    <row r="41">
      <c r="A41" t="inlineStr">
        <is>
          <t>Deye</t>
        </is>
      </c>
      <c r="B41" t="inlineStr">
        <is>
          <t>Grid 1P</t>
        </is>
      </c>
      <c r="C41" t="inlineStr">
        <is>
          <t>SUN-3.6K-G04P1-EU-AM1</t>
        </is>
      </c>
      <c r="D41" t="inlineStr">
        <is>
          <t>single-phase</t>
        </is>
      </c>
      <c r="E41">
        <v>3600</v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>model_only_needs_datasheet</t>
        </is>
      </c>
      <c r="R41" t="inlineStr">
        <is>
          <t>Model list provided by user; datasheet parameters pending.</t>
        </is>
      </c>
    </row>
    <row r="42">
      <c r="A42" t="inlineStr">
        <is>
          <t>Deye</t>
        </is>
      </c>
      <c r="B42" t="inlineStr">
        <is>
          <t>Grid 1P</t>
        </is>
      </c>
      <c r="C42" t="inlineStr">
        <is>
          <t>SUN-4K-G04P1-EU-AM1</t>
        </is>
      </c>
      <c r="D42" t="inlineStr">
        <is>
          <t>single-phase</t>
        </is>
      </c>
      <c r="E42">
        <v>4000</v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>model_only_needs_datasheet</t>
        </is>
      </c>
      <c r="R42" t="inlineStr">
        <is>
          <t>Model list provided by user; datasheet parameters pending.</t>
        </is>
      </c>
    </row>
    <row r="43">
      <c r="A43" t="inlineStr">
        <is>
          <t>Deye</t>
        </is>
      </c>
      <c r="B43" t="inlineStr">
        <is>
          <t>Grid 1P</t>
        </is>
      </c>
      <c r="C43" t="inlineStr">
        <is>
          <t>SUN-4K-G05P1-EU-AM2</t>
        </is>
      </c>
      <c r="D43" t="inlineStr">
        <is>
          <t>single-phase</t>
        </is>
      </c>
      <c r="E43">
        <v>4000</v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>model_only_needs_datasheet</t>
        </is>
      </c>
      <c r="R43" t="inlineStr">
        <is>
          <t>Model list provided by user; datasheet parameters pending.</t>
        </is>
      </c>
    </row>
    <row r="44">
      <c r="A44" t="inlineStr">
        <is>
          <t>Deye</t>
        </is>
      </c>
      <c r="B44" t="inlineStr">
        <is>
          <t>Grid 1P</t>
        </is>
      </c>
      <c r="C44" t="inlineStr">
        <is>
          <t>SUN-5K-G05P1-EU-AM2</t>
        </is>
      </c>
      <c r="D44" t="inlineStr">
        <is>
          <t>single-phase</t>
        </is>
      </c>
      <c r="E44">
        <v>5000</v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>model_only_needs_datasheet</t>
        </is>
      </c>
      <c r="R44" t="inlineStr">
        <is>
          <t>Model list provided by user; datasheet parameters pending.</t>
        </is>
      </c>
    </row>
    <row r="45">
      <c r="A45" t="inlineStr">
        <is>
          <t>Deye</t>
        </is>
      </c>
      <c r="B45" t="inlineStr">
        <is>
          <t>Grid 1P</t>
        </is>
      </c>
      <c r="C45" t="inlineStr">
        <is>
          <t>SUN-6K-G05P1-EU-AM2</t>
        </is>
      </c>
      <c r="D45" t="inlineStr">
        <is>
          <t>single-phase</t>
        </is>
      </c>
      <c r="E45">
        <v>6000</v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model_only_needs_datasheet</t>
        </is>
      </c>
      <c r="R45" t="inlineStr">
        <is>
          <t>Model list provided by user; datasheet parameters pending.</t>
        </is>
      </c>
    </row>
    <row r="46">
      <c r="A46" t="inlineStr">
        <is>
          <t>Deye</t>
        </is>
      </c>
      <c r="B46" t="inlineStr">
        <is>
          <t>Grid 1P</t>
        </is>
      </c>
      <c r="C46" t="inlineStr">
        <is>
          <t>SUN-7K-G02P1-EU-AM2</t>
        </is>
      </c>
      <c r="D46" t="inlineStr">
        <is>
          <t>single-phase</t>
        </is>
      </c>
      <c r="E46">
        <v>7000</v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model_only_needs_datasheet</t>
        </is>
      </c>
      <c r="R46" t="inlineStr">
        <is>
          <t>Model list provided by user; datasheet parameters pending.</t>
        </is>
      </c>
    </row>
    <row r="47">
      <c r="A47" t="inlineStr">
        <is>
          <t>Deye</t>
        </is>
      </c>
      <c r="B47" t="inlineStr">
        <is>
          <t>Grid 1P</t>
        </is>
      </c>
      <c r="C47" t="inlineStr">
        <is>
          <t>SUN-7.5K-G02P1-EU-AM2</t>
        </is>
      </c>
      <c r="D47" t="inlineStr">
        <is>
          <t>single-phase</t>
        </is>
      </c>
      <c r="E47">
        <v>7500</v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>model_only_needs_datasheet</t>
        </is>
      </c>
      <c r="R47" t="inlineStr">
        <is>
          <t>Model list provided by user; datasheet parameters pending.</t>
        </is>
      </c>
    </row>
    <row r="48">
      <c r="A48" t="inlineStr">
        <is>
          <t>Deye</t>
        </is>
      </c>
      <c r="B48" t="inlineStr">
        <is>
          <t>Grid 1P</t>
        </is>
      </c>
      <c r="C48" t="inlineStr">
        <is>
          <t>SUN-8K-G02P1-EU-AM2</t>
        </is>
      </c>
      <c r="D48" t="inlineStr">
        <is>
          <t>single-phase</t>
        </is>
      </c>
      <c r="E48">
        <v>8000</v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>model_only_needs_datasheet</t>
        </is>
      </c>
      <c r="R48" t="inlineStr">
        <is>
          <t>Model list provided by user; datasheet parameters pending.</t>
        </is>
      </c>
    </row>
    <row r="49">
      <c r="A49" t="inlineStr">
        <is>
          <t>Deye</t>
        </is>
      </c>
      <c r="B49" t="inlineStr">
        <is>
          <t>Grid 1P</t>
        </is>
      </c>
      <c r="C49" t="inlineStr">
        <is>
          <t>SUN-9K-G02P1-EU-AM2</t>
        </is>
      </c>
      <c r="D49" t="inlineStr">
        <is>
          <t>single-phase</t>
        </is>
      </c>
      <c r="E49">
        <v>9000</v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>model_only_needs_datasheet</t>
        </is>
      </c>
      <c r="R49" t="inlineStr">
        <is>
          <t>Model list provided by user; datasheet parameters pending.</t>
        </is>
      </c>
    </row>
    <row r="50">
      <c r="A50" t="inlineStr">
        <is>
          <t>Deye</t>
        </is>
      </c>
      <c r="B50" t="inlineStr">
        <is>
          <t>Grid 1P</t>
        </is>
      </c>
      <c r="C50" t="inlineStr">
        <is>
          <t>SUN-10K-G02P1-EU-AM2</t>
        </is>
      </c>
      <c r="D50" t="inlineStr">
        <is>
          <t>single-phase</t>
        </is>
      </c>
      <c r="E50">
        <v>10000</v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>model_only_needs_datasheet</t>
        </is>
      </c>
      <c r="R50" t="inlineStr">
        <is>
          <t>Model list provided by user; datasheet parameters pending.</t>
        </is>
      </c>
    </row>
    <row r="51">
      <c r="A51" t="inlineStr">
        <is>
          <t>Deye</t>
        </is>
      </c>
      <c r="B51" t="inlineStr">
        <is>
          <t>Grid 3P</t>
        </is>
      </c>
      <c r="C51" t="inlineStr">
        <is>
          <t>SUN-4K-G06P3-EU-BM2-P1</t>
        </is>
      </c>
      <c r="D51" t="inlineStr">
        <is>
          <t>three-phase</t>
        </is>
      </c>
      <c r="E51">
        <v>4000</v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>model_only_needs_datasheet</t>
        </is>
      </c>
      <c r="R51" t="inlineStr">
        <is>
          <t>Model list provided by user; datasheet parameters pending.</t>
        </is>
      </c>
    </row>
    <row r="52">
      <c r="A52" t="inlineStr">
        <is>
          <t>Deye</t>
        </is>
      </c>
      <c r="B52" t="inlineStr">
        <is>
          <t>Grid 3P</t>
        </is>
      </c>
      <c r="C52" t="inlineStr">
        <is>
          <t>SUN-5K-G06P3-EU-BM2-P1</t>
        </is>
      </c>
      <c r="D52" t="inlineStr">
        <is>
          <t>three-phase</t>
        </is>
      </c>
      <c r="E52">
        <v>5000</v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>model_only_needs_datasheet</t>
        </is>
      </c>
      <c r="R52" t="inlineStr">
        <is>
          <t>Model list provided by user; datasheet parameters pending.</t>
        </is>
      </c>
    </row>
    <row r="53">
      <c r="A53" t="inlineStr">
        <is>
          <t>Deye</t>
        </is>
      </c>
      <c r="B53" t="inlineStr">
        <is>
          <t>Grid 3P</t>
        </is>
      </c>
      <c r="C53" t="inlineStr">
        <is>
          <t>SUN-6K-G06P3-EU-BM2-P1</t>
        </is>
      </c>
      <c r="D53" t="inlineStr">
        <is>
          <t>three-phase</t>
        </is>
      </c>
      <c r="E53">
        <v>6000</v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>model_only_needs_datasheet</t>
        </is>
      </c>
      <c r="R53" t="inlineStr">
        <is>
          <t>Model list provided by user; datasheet parameters pending.</t>
        </is>
      </c>
    </row>
    <row r="54">
      <c r="A54" t="inlineStr">
        <is>
          <t>Deye</t>
        </is>
      </c>
      <c r="B54" t="inlineStr">
        <is>
          <t>Grid 3P</t>
        </is>
      </c>
      <c r="C54" t="inlineStr">
        <is>
          <t>SUN-7K-G06P3-EU-BM2-P1</t>
        </is>
      </c>
      <c r="D54" t="inlineStr">
        <is>
          <t>three-phase</t>
        </is>
      </c>
      <c r="E54">
        <v>7000</v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>model_only_needs_datasheet</t>
        </is>
      </c>
      <c r="R54" t="inlineStr">
        <is>
          <t>Model list provided by user; datasheet parameters pending.</t>
        </is>
      </c>
    </row>
    <row r="55">
      <c r="A55" t="inlineStr">
        <is>
          <t>Deye</t>
        </is>
      </c>
      <c r="B55" t="inlineStr">
        <is>
          <t>Grid 3P</t>
        </is>
      </c>
      <c r="C55" t="inlineStr">
        <is>
          <t>SUN-8K-G06P3-EU-BM2-P1</t>
        </is>
      </c>
      <c r="D55" t="inlineStr">
        <is>
          <t>three-phase</t>
        </is>
      </c>
      <c r="E55">
        <v>8000</v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>model_only_needs_datasheet</t>
        </is>
      </c>
      <c r="R55" t="inlineStr">
        <is>
          <t>Model list provided by user; datasheet parameters pending.</t>
        </is>
      </c>
    </row>
    <row r="56">
      <c r="A56" t="inlineStr">
        <is>
          <t>Deye</t>
        </is>
      </c>
      <c r="B56" t="inlineStr">
        <is>
          <t>Grid 3P</t>
        </is>
      </c>
      <c r="C56" t="inlineStr">
        <is>
          <t>SUN-9K-G06P3-EU-BM2-P1</t>
        </is>
      </c>
      <c r="D56" t="inlineStr">
        <is>
          <t>three-phase</t>
        </is>
      </c>
      <c r="E56">
        <v>9000</v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>model_only_needs_datasheet</t>
        </is>
      </c>
      <c r="R56" t="inlineStr">
        <is>
          <t>Model list provided by user; datasheet parameters pending.</t>
        </is>
      </c>
    </row>
    <row r="57">
      <c r="A57" t="inlineStr">
        <is>
          <t>Deye</t>
        </is>
      </c>
      <c r="B57" t="inlineStr">
        <is>
          <t>Grid 3P</t>
        </is>
      </c>
      <c r="C57" t="inlineStr">
        <is>
          <t>SUN-10K-G06P3-EU-BM2-P1</t>
        </is>
      </c>
      <c r="D57" t="inlineStr">
        <is>
          <t>three-phase</t>
        </is>
      </c>
      <c r="E57">
        <v>10000</v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>model_only_needs_datasheet</t>
        </is>
      </c>
      <c r="R57" t="inlineStr">
        <is>
          <t>Model list provided by user; datasheet parameters pending.</t>
        </is>
      </c>
    </row>
    <row r="58">
      <c r="A58" t="inlineStr">
        <is>
          <t>Deye</t>
        </is>
      </c>
      <c r="B58" t="inlineStr">
        <is>
          <t>Grid 3P</t>
        </is>
      </c>
      <c r="C58" t="inlineStr">
        <is>
          <t>SUN-12K-G06P3-EU-BM2-P1</t>
        </is>
      </c>
      <c r="D58" t="inlineStr">
        <is>
          <t>three-phase</t>
        </is>
      </c>
      <c r="E58">
        <v>12000</v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>model_only_needs_datasheet</t>
        </is>
      </c>
      <c r="R58" t="inlineStr">
        <is>
          <t>Model list provided by user; datasheet parameters pending.</t>
        </is>
      </c>
    </row>
    <row r="59">
      <c r="A59" t="inlineStr">
        <is>
          <t>Deye</t>
        </is>
      </c>
      <c r="B59" t="inlineStr">
        <is>
          <t>Grid 3P</t>
        </is>
      </c>
      <c r="C59" t="inlineStr">
        <is>
          <t>SUN-15K-G06P3-EU-BM2-P1</t>
        </is>
      </c>
      <c r="D59" t="inlineStr">
        <is>
          <t>three-phase</t>
        </is>
      </c>
      <c r="E59">
        <v>15000</v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>model_only_needs_datasheet</t>
        </is>
      </c>
      <c r="R59" t="inlineStr">
        <is>
          <t>Model list provided by user; datasheet parameters pending.</t>
        </is>
      </c>
    </row>
    <row r="60">
      <c r="A60" t="inlineStr">
        <is>
          <t>Deye</t>
        </is>
      </c>
      <c r="B60" t="inlineStr">
        <is>
          <t>Grid 3P</t>
        </is>
      </c>
      <c r="C60" t="inlineStr">
        <is>
          <t>SUN-18K-G05</t>
        </is>
      </c>
      <c r="D60" t="inlineStr">
        <is>
          <t>three-phase</t>
        </is>
      </c>
      <c r="E60">
        <v>18000</v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>model_only_needs_datasheet</t>
        </is>
      </c>
      <c r="R60" t="inlineStr">
        <is>
          <t>Model list provided by user; datasheet parameters pending.</t>
        </is>
      </c>
    </row>
    <row r="61">
      <c r="A61" t="inlineStr">
        <is>
          <t>Deye</t>
        </is>
      </c>
      <c r="B61" t="inlineStr">
        <is>
          <t>Grid 3P</t>
        </is>
      </c>
      <c r="C61" t="inlineStr">
        <is>
          <t>SUN-20K-G05</t>
        </is>
      </c>
      <c r="D61" t="inlineStr">
        <is>
          <t>three-phase</t>
        </is>
      </c>
      <c r="E61">
        <v>20000</v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>model_only_needs_datasheet</t>
        </is>
      </c>
      <c r="R61" t="inlineStr">
        <is>
          <t>Model list provided by user; datasheet parameters pending.</t>
        </is>
      </c>
    </row>
    <row r="62">
      <c r="A62" t="inlineStr">
        <is>
          <t>Deye</t>
        </is>
      </c>
      <c r="B62" t="inlineStr">
        <is>
          <t>Grid 3P</t>
        </is>
      </c>
      <c r="C62" t="inlineStr">
        <is>
          <t>SUN-25K-G05</t>
        </is>
      </c>
      <c r="D62" t="inlineStr">
        <is>
          <t>three-phase</t>
        </is>
      </c>
      <c r="E62">
        <v>25000</v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>model_only_needs_datasheet</t>
        </is>
      </c>
      <c r="R62" t="inlineStr">
        <is>
          <t>Model list provided by user; datasheet parameters pending.</t>
        </is>
      </c>
    </row>
    <row r="63">
      <c r="A63" t="inlineStr">
        <is>
          <t>Deye</t>
        </is>
      </c>
      <c r="B63" t="inlineStr">
        <is>
          <t>Grid 3P</t>
        </is>
      </c>
      <c r="C63" t="inlineStr">
        <is>
          <t>SUN-30K-G04</t>
        </is>
      </c>
      <c r="D63" t="inlineStr">
        <is>
          <t>three-phase</t>
        </is>
      </c>
      <c r="E63">
        <v>30000</v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>model_only_needs_datasheet</t>
        </is>
      </c>
      <c r="R63" t="inlineStr">
        <is>
          <t>Model list provided by user; datasheet parameters pending.</t>
        </is>
      </c>
    </row>
    <row r="64">
      <c r="A64" t="inlineStr">
        <is>
          <t>Deye</t>
        </is>
      </c>
      <c r="B64" t="inlineStr">
        <is>
          <t>Grid 3P</t>
        </is>
      </c>
      <c r="C64" t="inlineStr">
        <is>
          <t>SUN-33K-G04</t>
        </is>
      </c>
      <c r="D64" t="inlineStr">
        <is>
          <t>three-phase</t>
        </is>
      </c>
      <c r="E64">
        <v>33000</v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>model_only_needs_datasheet</t>
        </is>
      </c>
      <c r="R64" t="inlineStr">
        <is>
          <t>Model list provided by user; datasheet parameters pending.</t>
        </is>
      </c>
    </row>
    <row r="65">
      <c r="A65" t="inlineStr">
        <is>
          <t>Deye</t>
        </is>
      </c>
      <c r="B65" t="inlineStr">
        <is>
          <t>Grid 3P</t>
        </is>
      </c>
      <c r="C65" t="inlineStr">
        <is>
          <t>SUN-35K-G04</t>
        </is>
      </c>
      <c r="D65" t="inlineStr">
        <is>
          <t>three-phase</t>
        </is>
      </c>
      <c r="E65">
        <v>35000</v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>model_only_needs_datasheet</t>
        </is>
      </c>
      <c r="R65" t="inlineStr">
        <is>
          <t>Model list provided by user; datasheet parameters pending.</t>
        </is>
      </c>
    </row>
    <row r="66">
      <c r="A66" t="inlineStr">
        <is>
          <t>Deye</t>
        </is>
      </c>
      <c r="B66" t="inlineStr">
        <is>
          <t>Grid 3P</t>
        </is>
      </c>
      <c r="C66" t="inlineStr">
        <is>
          <t>SUN-40K-G04</t>
        </is>
      </c>
      <c r="D66" t="inlineStr">
        <is>
          <t>three-phase</t>
        </is>
      </c>
      <c r="E66">
        <v>40000</v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>model_only_needs_datasheet</t>
        </is>
      </c>
      <c r="R66" t="inlineStr">
        <is>
          <t>Model list provided by user; datasheet parameters pending.</t>
        </is>
      </c>
    </row>
    <row r="67">
      <c r="A67" t="inlineStr">
        <is>
          <t>Deye</t>
        </is>
      </c>
      <c r="B67" t="inlineStr">
        <is>
          <t>Grid 3P</t>
        </is>
      </c>
      <c r="C67" t="inlineStr">
        <is>
          <t>SUN-45K-G04</t>
        </is>
      </c>
      <c r="D67" t="inlineStr">
        <is>
          <t>three-phase</t>
        </is>
      </c>
      <c r="E67">
        <v>45000</v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>model_only_needs_datasheet</t>
        </is>
      </c>
      <c r="R67" t="inlineStr">
        <is>
          <t>Model list provided by user; datasheet parameters pending.</t>
        </is>
      </c>
    </row>
    <row r="68">
      <c r="A68" t="inlineStr">
        <is>
          <t>Deye</t>
        </is>
      </c>
      <c r="B68" t="inlineStr">
        <is>
          <t>Grid 3P</t>
        </is>
      </c>
      <c r="C68" t="inlineStr">
        <is>
          <t>SUN-50K-G04</t>
        </is>
      </c>
      <c r="D68" t="inlineStr">
        <is>
          <t>three-phase</t>
        </is>
      </c>
      <c r="E68">
        <v>50000</v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>model_only_needs_datasheet</t>
        </is>
      </c>
      <c r="R68" t="inlineStr">
        <is>
          <t>Model list provided by user; datasheet parameters pending.</t>
        </is>
      </c>
    </row>
    <row r="69">
      <c r="A69" t="inlineStr">
        <is>
          <t>Deye</t>
        </is>
      </c>
      <c r="B69" t="inlineStr">
        <is>
          <t>Grid 3P</t>
        </is>
      </c>
      <c r="C69" t="inlineStr">
        <is>
          <t>SUN-60K-G04P3-EU-AM4</t>
        </is>
      </c>
      <c r="D69" t="inlineStr">
        <is>
          <t>three-phase</t>
        </is>
      </c>
      <c r="E69">
        <v>60000</v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>model_only_needs_datasheet</t>
        </is>
      </c>
      <c r="R69" t="inlineStr">
        <is>
          <t>Model list provided by user; datasheet parameters pending.</t>
        </is>
      </c>
    </row>
    <row r="70">
      <c r="A70" t="inlineStr">
        <is>
          <t>Deye</t>
        </is>
      </c>
      <c r="B70" t="inlineStr">
        <is>
          <t>Grid 3P</t>
        </is>
      </c>
      <c r="C70" t="inlineStr">
        <is>
          <t>SUN-70K-G04P3-EU-AM4</t>
        </is>
      </c>
      <c r="D70" t="inlineStr">
        <is>
          <t>three-phase</t>
        </is>
      </c>
      <c r="E70">
        <v>70000</v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>model_only_needs_datasheet</t>
        </is>
      </c>
      <c r="R70" t="inlineStr">
        <is>
          <t>Model list provided by user; datasheet parameters pending.</t>
        </is>
      </c>
    </row>
    <row r="71">
      <c r="A71" t="inlineStr">
        <is>
          <t>Deye</t>
        </is>
      </c>
      <c r="B71" t="inlineStr">
        <is>
          <t>Grid 3P</t>
        </is>
      </c>
      <c r="C71" t="inlineStr">
        <is>
          <t>SUN-75K-G04P3-EU-AM4</t>
        </is>
      </c>
      <c r="D71" t="inlineStr">
        <is>
          <t>three-phase</t>
        </is>
      </c>
      <c r="E71">
        <v>75000</v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>model_only_needs_datasheet</t>
        </is>
      </c>
      <c r="R71" t="inlineStr">
        <is>
          <t>Model list provided by user; datasheet parameters pending.</t>
        </is>
      </c>
    </row>
    <row r="72">
      <c r="A72" t="inlineStr">
        <is>
          <t>Deye</t>
        </is>
      </c>
      <c r="B72" t="inlineStr">
        <is>
          <t>Grid 3P</t>
        </is>
      </c>
      <c r="C72" t="inlineStr">
        <is>
          <t>SUN-80K-G04P3-EU-AM4</t>
        </is>
      </c>
      <c r="D72" t="inlineStr">
        <is>
          <t>three-phase</t>
        </is>
      </c>
      <c r="E72">
        <v>80000</v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>model_only_needs_datasheet</t>
        </is>
      </c>
      <c r="R72" t="inlineStr">
        <is>
          <t>Model list provided by user; datasheet parameters pending.</t>
        </is>
      </c>
    </row>
    <row r="73">
      <c r="A73" t="inlineStr">
        <is>
          <t>Deye</t>
        </is>
      </c>
      <c r="B73" t="inlineStr">
        <is>
          <t>Grid 3P</t>
        </is>
      </c>
      <c r="C73" t="inlineStr">
        <is>
          <t>SUN-100K-G03</t>
        </is>
      </c>
      <c r="D73" t="inlineStr">
        <is>
          <t>three-phase</t>
        </is>
      </c>
      <c r="E73">
        <v>100000</v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>model_only_needs_datasheet</t>
        </is>
      </c>
      <c r="R73" t="inlineStr">
        <is>
          <t>Model list provided by user; datasheet parameters pending.</t>
        </is>
      </c>
    </row>
    <row r="74">
      <c r="A74" t="inlineStr">
        <is>
          <t>Deye</t>
        </is>
      </c>
      <c r="B74" t="inlineStr">
        <is>
          <t>Grid 3P</t>
        </is>
      </c>
      <c r="C74" t="inlineStr">
        <is>
          <t>SUN-110K-G03</t>
        </is>
      </c>
      <c r="D74" t="inlineStr">
        <is>
          <t>three-phase</t>
        </is>
      </c>
      <c r="E74">
        <v>110000</v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>model_only_needs_datasheet</t>
        </is>
      </c>
      <c r="R74" t="inlineStr">
        <is>
          <t>Model list provided by user; datasheet parameters pending.</t>
        </is>
      </c>
    </row>
    <row r="75">
      <c r="A75" t="inlineStr">
        <is>
          <t>Deye</t>
        </is>
      </c>
      <c r="B75" t="inlineStr">
        <is>
          <t>Grid 3P</t>
        </is>
      </c>
      <c r="C75" t="inlineStr">
        <is>
          <t>SUN-120K-G01P3-EU-AM8</t>
        </is>
      </c>
      <c r="D75" t="inlineStr">
        <is>
          <t>three-phase</t>
        </is>
      </c>
      <c r="E75">
        <v>120000</v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>model_only_needs_datasheet</t>
        </is>
      </c>
      <c r="R75" t="inlineStr">
        <is>
          <t>Model list provided by user; datasheet parameters pending.</t>
        </is>
      </c>
    </row>
    <row r="76">
      <c r="A76" t="inlineStr">
        <is>
          <t>Deye</t>
        </is>
      </c>
      <c r="B76" t="inlineStr">
        <is>
          <t>Grid 3P</t>
        </is>
      </c>
      <c r="C76" t="inlineStr">
        <is>
          <t>SUN-125K-G01P3-EU-AM8</t>
        </is>
      </c>
      <c r="D76" t="inlineStr">
        <is>
          <t>three-phase</t>
        </is>
      </c>
      <c r="E76">
        <v>125000</v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>model_only_needs_datasheet</t>
        </is>
      </c>
      <c r="R76" t="inlineStr">
        <is>
          <t>Model list provided by user; datasheet parameters pending.</t>
        </is>
      </c>
    </row>
    <row r="77">
      <c r="A77" t="inlineStr">
        <is>
          <t>Deye</t>
        </is>
      </c>
      <c r="B77" t="inlineStr">
        <is>
          <t>Grid 3P</t>
        </is>
      </c>
      <c r="C77" t="inlineStr">
        <is>
          <t>SUN-130K-G01P3-EU-AM8</t>
        </is>
      </c>
      <c r="D77" t="inlineStr">
        <is>
          <t>three-phase</t>
        </is>
      </c>
      <c r="E77">
        <v>130000</v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>model_only_needs_datasheet</t>
        </is>
      </c>
      <c r="R77" t="inlineStr">
        <is>
          <t>Model list provided by user; datasheet parameters pending.</t>
        </is>
      </c>
    </row>
    <row r="78">
      <c r="A78" t="inlineStr">
        <is>
          <t>Deye</t>
        </is>
      </c>
      <c r="B78" t="inlineStr">
        <is>
          <t>Grid 3P</t>
        </is>
      </c>
      <c r="C78" t="inlineStr">
        <is>
          <t>SUN-135K-G01P3-EU-AM8</t>
        </is>
      </c>
      <c r="D78" t="inlineStr">
        <is>
          <t>three-phase</t>
        </is>
      </c>
      <c r="E78">
        <v>135000</v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>model_only_needs_datasheet</t>
        </is>
      </c>
      <c r="R78" t="inlineStr">
        <is>
          <t>Model list provided by user; datasheet parameters pending.</t>
        </is>
      </c>
    </row>
    <row r="79">
      <c r="A79" t="inlineStr">
        <is>
          <t>Deye</t>
        </is>
      </c>
      <c r="B79" t="inlineStr">
        <is>
          <t>Grid 3P</t>
        </is>
      </c>
      <c r="C79" t="inlineStr">
        <is>
          <t>SUN-136K-G01P3-EU-AM8</t>
        </is>
      </c>
      <c r="D79" t="inlineStr">
        <is>
          <t>three-phase</t>
        </is>
      </c>
      <c r="E79">
        <v>136000</v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>model_only_needs_datasheet</t>
        </is>
      </c>
      <c r="R79" t="inlineStr">
        <is>
          <t>Model list provided by user; datasheet parameters pending.</t>
        </is>
      </c>
    </row>
    <row r="80">
      <c r="A80" t="inlineStr">
        <is>
          <t>Deye</t>
        </is>
      </c>
      <c r="B80" t="inlineStr">
        <is>
          <t>LV Hybrid</t>
        </is>
      </c>
      <c r="C80" t="inlineStr">
        <is>
          <t>SUN-3.6K-SG03LP1-EU</t>
        </is>
      </c>
      <c r="D80" t="inlineStr">
        <is>
          <t>single-phase</t>
        </is>
      </c>
      <c r="E80">
        <v>3600</v>
      </c>
      <c r="F80">
        <v>4680</v>
      </c>
      <c r="G80">
        <v>500</v>
      </c>
      <c r="H80">
        <v>150</v>
      </c>
      <c r="I80">
        <v>125</v>
      </c>
      <c r="J80">
        <v>425</v>
      </c>
      <c r="K80">
        <v>2</v>
      </c>
      <c r="L80" t="inlineStr">
        <is>
          <t>1+1</t>
        </is>
      </c>
      <c r="M80">
        <v>13</v>
      </c>
      <c r="N80">
        <v>17</v>
      </c>
      <c r="O80">
        <v>48</v>
      </c>
      <c r="P80" t="inlineStr">
        <is>
          <t>40-60</t>
        </is>
      </c>
      <c r="Q80" t="inlineStr">
        <is>
          <t>seed_verify_datasheet</t>
        </is>
      </c>
      <c r="R80" t="inlineStr">
        <is>
          <t>Starter record for low-voltage hybrid inverter calculations.</t>
        </is>
      </c>
    </row>
    <row r="81">
      <c r="A81" t="inlineStr">
        <is>
          <t>Deye</t>
        </is>
      </c>
      <c r="B81" t="inlineStr">
        <is>
          <t>LV Hybrid</t>
        </is>
      </c>
      <c r="C81" t="inlineStr">
        <is>
          <t>SUN-5K-SG03LP1-EU</t>
        </is>
      </c>
      <c r="D81" t="inlineStr">
        <is>
          <t>single-phase</t>
        </is>
      </c>
      <c r="E81">
        <v>5000</v>
      </c>
      <c r="F81">
        <v>6500</v>
      </c>
      <c r="G81">
        <v>500</v>
      </c>
      <c r="H81">
        <v>150</v>
      </c>
      <c r="I81">
        <v>125</v>
      </c>
      <c r="J81">
        <v>425</v>
      </c>
      <c r="K81">
        <v>2</v>
      </c>
      <c r="L81" t="inlineStr">
        <is>
          <t>1+1</t>
        </is>
      </c>
      <c r="M81">
        <v>13</v>
      </c>
      <c r="N81">
        <v>17</v>
      </c>
      <c r="O81">
        <v>48</v>
      </c>
      <c r="P81" t="inlineStr">
        <is>
          <t>40-60</t>
        </is>
      </c>
      <c r="Q81" t="inlineStr">
        <is>
          <t>seed_verify_datasheet</t>
        </is>
      </c>
      <c r="R81" t="inlineStr">
        <is>
          <t>Starter record for low-voltage hybrid inverter calculations.</t>
        </is>
      </c>
    </row>
    <row r="82">
      <c r="A82" t="inlineStr">
        <is>
          <t>Deye</t>
        </is>
      </c>
      <c r="B82" t="inlineStr">
        <is>
          <t>LV Hybrid</t>
        </is>
      </c>
      <c r="C82" t="inlineStr">
        <is>
          <t>SUN-6K-SG03LP1-EU</t>
        </is>
      </c>
      <c r="D82" t="inlineStr">
        <is>
          <t>single-phase</t>
        </is>
      </c>
      <c r="E82">
        <v>6000</v>
      </c>
      <c r="F82">
        <v>7800</v>
      </c>
      <c r="G82">
        <v>500</v>
      </c>
      <c r="H82">
        <v>150</v>
      </c>
      <c r="I82">
        <v>125</v>
      </c>
      <c r="J82">
        <v>425</v>
      </c>
      <c r="K82">
        <v>2</v>
      </c>
      <c r="L82" t="inlineStr">
        <is>
          <t>1+1</t>
        </is>
      </c>
      <c r="M82">
        <v>13</v>
      </c>
      <c r="N82">
        <v>17</v>
      </c>
      <c r="O82">
        <v>48</v>
      </c>
      <c r="P82" t="inlineStr">
        <is>
          <t>40-60</t>
        </is>
      </c>
      <c r="Q82" t="inlineStr">
        <is>
          <t>seed_verify_datasheet</t>
        </is>
      </c>
      <c r="R82" t="inlineStr">
        <is>
          <t>Starter record for low-voltage hybrid inverter calculations.</t>
        </is>
      </c>
    </row>
    <row r="83">
      <c r="A83" t="inlineStr">
        <is>
          <t>Deye</t>
        </is>
      </c>
      <c r="B83" t="inlineStr">
        <is>
          <t>LV Hybrid</t>
        </is>
      </c>
      <c r="C83" t="inlineStr">
        <is>
          <t>SUN-8K-SG01LP1-EU</t>
        </is>
      </c>
      <c r="D83" t="inlineStr">
        <is>
          <t>single-phase</t>
        </is>
      </c>
      <c r="E83">
        <v>8000</v>
      </c>
      <c r="F83">
        <v>10400</v>
      </c>
      <c r="G83">
        <v>500</v>
      </c>
      <c r="H83">
        <v>150</v>
      </c>
      <c r="I83">
        <v>125</v>
      </c>
      <c r="J83">
        <v>425</v>
      </c>
      <c r="K83">
        <v>2</v>
      </c>
      <c r="L83" t="inlineStr">
        <is>
          <t>2+2</t>
        </is>
      </c>
      <c r="M83">
        <v>26</v>
      </c>
      <c r="N83">
        <v>34</v>
      </c>
      <c r="O83">
        <v>48</v>
      </c>
      <c r="P83" t="inlineStr">
        <is>
          <t>40-60</t>
        </is>
      </c>
      <c r="Q83" t="inlineStr">
        <is>
          <t>seed_verify_datasheet</t>
        </is>
      </c>
      <c r="R83" t="inlineStr">
        <is>
          <t>Starter record; verify exact PV current and string inputs for selected market version.</t>
        </is>
      </c>
    </row>
  </sheetData>
  <autoFilter ref="A1:R8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1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28" customWidth="1"/>
    <col min="3" max="3" width="24" customWidth="1"/>
    <col min="16" max="16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power_stc_w</t>
        </is>
      </c>
      <c r="E1" t="inlineStr" s="1">
        <is>
          <t>vmp_stc_v</t>
        </is>
      </c>
      <c r="F1" t="inlineStr" s="1">
        <is>
          <t>imp_stc_a</t>
        </is>
      </c>
      <c r="G1" t="inlineStr" s="1">
        <is>
          <t>voc_stc_v</t>
        </is>
      </c>
      <c r="H1" t="inlineStr" s="1">
        <is>
          <t>isc_stc_a</t>
        </is>
      </c>
      <c r="I1" t="inlineStr" s="1">
        <is>
          <t>temp_coeff_pmax_pct_c</t>
        </is>
      </c>
      <c r="J1" t="inlineStr" s="1">
        <is>
          <t>temp_coeff_voc_pct_c</t>
        </is>
      </c>
      <c r="K1" t="inlineStr" s="1">
        <is>
          <t>temp_coeff_isc_pct_c</t>
        </is>
      </c>
      <c r="L1" t="inlineStr" s="1">
        <is>
          <t>module_length_mm</t>
        </is>
      </c>
      <c r="M1" t="inlineStr" s="1">
        <is>
          <t>module_width_mm</t>
        </is>
      </c>
      <c r="N1" t="inlineStr" s="1">
        <is>
          <t>module_depth_mm</t>
        </is>
      </c>
      <c r="O1" t="inlineStr" s="1">
        <is>
          <t>data_status</t>
        </is>
      </c>
      <c r="P1" t="inlineStr" s="1">
        <is>
          <t>notes</t>
        </is>
      </c>
    </row>
    <row r="2">
      <c r="A2" t="inlineStr">
        <is>
          <t>Jinko</t>
        </is>
      </c>
      <c r="B2" t="inlineStr">
        <is>
          <t>Tiger Neo N-type 72HL4</t>
        </is>
      </c>
      <c r="C2" t="inlineStr">
        <is>
          <t>JKM565N-72HL4-V</t>
        </is>
      </c>
      <c r="D2">
        <v>565</v>
      </c>
      <c r="E2">
        <v>43.28</v>
      </c>
      <c r="F2">
        <v>13.06</v>
      </c>
      <c r="G2">
        <v>51.7</v>
      </c>
      <c r="H2">
        <v>13.86</v>
      </c>
      <c r="I2">
        <v>-0.29</v>
      </c>
      <c r="J2">
        <v>-0.25</v>
      </c>
      <c r="K2">
        <v>0.045</v>
      </c>
      <c r="L2">
        <v>2278</v>
      </c>
      <c r="M2">
        <v>1134</v>
      </c>
      <c r="N2">
        <v>30</v>
      </c>
      <c r="O2" t="inlineStr">
        <is>
          <t>seed_verify_datasheet</t>
        </is>
      </c>
      <c r="P2" t="inlineStr">
        <is>
          <t>Starter record for string sizing tests.</t>
        </is>
      </c>
    </row>
    <row r="3">
      <c r="A3" t="inlineStr">
        <is>
          <t>Jinko</t>
        </is>
      </c>
      <c r="B3" t="inlineStr">
        <is>
          <t>Tiger Neo N-type 72HL4</t>
        </is>
      </c>
      <c r="C3" t="inlineStr">
        <is>
          <t>JKM570N-72HL4-V</t>
        </is>
      </c>
      <c r="D3">
        <v>570</v>
      </c>
      <c r="E3">
        <v>43.52</v>
      </c>
      <c r="F3">
        <v>13.1</v>
      </c>
      <c r="G3">
        <v>51.89</v>
      </c>
      <c r="H3">
        <v>13.89</v>
      </c>
      <c r="I3">
        <v>-0.29</v>
      </c>
      <c r="J3">
        <v>-0.25</v>
      </c>
      <c r="K3">
        <v>0.045</v>
      </c>
      <c r="L3">
        <v>2278</v>
      </c>
      <c r="M3">
        <v>1134</v>
      </c>
      <c r="N3">
        <v>30</v>
      </c>
      <c r="O3" t="inlineStr">
        <is>
          <t>seed_verify_datasheet</t>
        </is>
      </c>
      <c r="P3" t="inlineStr">
        <is>
          <t>Starter record for string sizing tests.</t>
        </is>
      </c>
    </row>
    <row r="4">
      <c r="A4" t="inlineStr">
        <is>
          <t>Jinko</t>
        </is>
      </c>
      <c r="B4" t="inlineStr">
        <is>
          <t>Tiger Neo N-type 72HL4</t>
        </is>
      </c>
      <c r="C4" t="inlineStr">
        <is>
          <t>JKM575N-72HL4-V</t>
        </is>
      </c>
      <c r="D4">
        <v>575</v>
      </c>
      <c r="E4">
        <v>43.76</v>
      </c>
      <c r="F4">
        <v>13.14</v>
      </c>
      <c r="G4">
        <v>52.08</v>
      </c>
      <c r="H4">
        <v>13.92</v>
      </c>
      <c r="I4">
        <v>-0.29</v>
      </c>
      <c r="J4">
        <v>-0.25</v>
      </c>
      <c r="K4">
        <v>0.045</v>
      </c>
      <c r="L4">
        <v>2278</v>
      </c>
      <c r="M4">
        <v>1134</v>
      </c>
      <c r="N4">
        <v>30</v>
      </c>
      <c r="O4" t="inlineStr">
        <is>
          <t>seed_verify_datasheet</t>
        </is>
      </c>
      <c r="P4" t="inlineStr">
        <is>
          <t>Starter record for string sizing tests.</t>
        </is>
      </c>
    </row>
    <row r="5">
      <c r="A5" t="inlineStr">
        <is>
          <t>Jinko</t>
        </is>
      </c>
      <c r="B5" t="inlineStr">
        <is>
          <t>Tiger Neo N-type 72HL4</t>
        </is>
      </c>
      <c r="C5" t="inlineStr">
        <is>
          <t>JKM580N-72HL4-V</t>
        </is>
      </c>
      <c r="D5">
        <v>580</v>
      </c>
      <c r="E5">
        <v>43.99</v>
      </c>
      <c r="F5">
        <v>13.19</v>
      </c>
      <c r="G5">
        <v>52.27</v>
      </c>
      <c r="H5">
        <v>13.96</v>
      </c>
      <c r="I5">
        <v>-0.29</v>
      </c>
      <c r="J5">
        <v>-0.25</v>
      </c>
      <c r="K5">
        <v>0.045</v>
      </c>
      <c r="L5">
        <v>2278</v>
      </c>
      <c r="M5">
        <v>1134</v>
      </c>
      <c r="N5">
        <v>30</v>
      </c>
      <c r="O5" t="inlineStr">
        <is>
          <t>seed_verify_datasheet</t>
        </is>
      </c>
      <c r="P5" t="inlineStr">
        <is>
          <t>Starter record for string sizing tests.</t>
        </is>
      </c>
    </row>
    <row r="6">
      <c r="A6" t="inlineStr">
        <is>
          <t>Jinko</t>
        </is>
      </c>
      <c r="B6" t="inlineStr">
        <is>
          <t>Tiger Neo N-type 72HL4</t>
        </is>
      </c>
      <c r="C6" t="inlineStr">
        <is>
          <t>JKM585N-72HL4-V</t>
        </is>
      </c>
      <c r="D6">
        <v>585</v>
      </c>
      <c r="E6">
        <v>44.23</v>
      </c>
      <c r="F6">
        <v>13.23</v>
      </c>
      <c r="G6">
        <v>52.46</v>
      </c>
      <c r="H6">
        <v>14.0</v>
      </c>
      <c r="I6">
        <v>-0.29</v>
      </c>
      <c r="J6">
        <v>-0.25</v>
      </c>
      <c r="K6">
        <v>0.045</v>
      </c>
      <c r="L6">
        <v>2278</v>
      </c>
      <c r="M6">
        <v>1134</v>
      </c>
      <c r="N6">
        <v>30</v>
      </c>
      <c r="O6" t="inlineStr">
        <is>
          <t>seed_verify_datasheet</t>
        </is>
      </c>
      <c r="P6" t="inlineStr">
        <is>
          <t>Starter record for string sizing tests.</t>
        </is>
      </c>
    </row>
    <row r="7">
      <c r="A7" t="inlineStr">
        <is>
          <t>LONGi</t>
        </is>
      </c>
      <c r="B7" t="inlineStr">
        <is>
          <t>Hi-MO 6</t>
        </is>
      </c>
      <c r="C7" t="inlineStr">
        <is>
          <t>LR5-72HTH-565M</t>
        </is>
      </c>
      <c r="D7">
        <v>565</v>
      </c>
      <c r="E7">
        <v>42.94</v>
      </c>
      <c r="F7">
        <v>13.16</v>
      </c>
      <c r="G7">
        <v>51.21</v>
      </c>
      <c r="H7">
        <v>14.01</v>
      </c>
      <c r="I7">
        <v>-0.29</v>
      </c>
      <c r="J7">
        <v>-0.23</v>
      </c>
      <c r="K7">
        <v>0.05</v>
      </c>
      <c r="L7">
        <v>2278</v>
      </c>
      <c r="M7">
        <v>1134</v>
      </c>
      <c r="N7">
        <v>35</v>
      </c>
      <c r="O7" t="inlineStr">
        <is>
          <t>seed_verify_datasheet</t>
        </is>
      </c>
      <c r="P7" t="inlineStr">
        <is>
          <t>Starter record for string sizing tests.</t>
        </is>
      </c>
    </row>
    <row r="8">
      <c r="A8" t="inlineStr">
        <is>
          <t>LONGi</t>
        </is>
      </c>
      <c r="B8" t="inlineStr">
        <is>
          <t>Hi-MO 6</t>
        </is>
      </c>
      <c r="C8" t="inlineStr">
        <is>
          <t>LR5-72HTH-570M</t>
        </is>
      </c>
      <c r="D8">
        <v>570</v>
      </c>
      <c r="E8">
        <v>43.13</v>
      </c>
      <c r="F8">
        <v>13.22</v>
      </c>
      <c r="G8">
        <v>51.4</v>
      </c>
      <c r="H8">
        <v>14.07</v>
      </c>
      <c r="I8">
        <v>-0.29</v>
      </c>
      <c r="J8">
        <v>-0.23</v>
      </c>
      <c r="K8">
        <v>0.05</v>
      </c>
      <c r="L8">
        <v>2278</v>
      </c>
      <c r="M8">
        <v>1134</v>
      </c>
      <c r="N8">
        <v>35</v>
      </c>
      <c r="O8" t="inlineStr">
        <is>
          <t>seed_verify_datasheet</t>
        </is>
      </c>
      <c r="P8" t="inlineStr">
        <is>
          <t>Starter record for string sizing tests.</t>
        </is>
      </c>
    </row>
    <row r="9">
      <c r="A9" t="inlineStr">
        <is>
          <t>LONGi</t>
        </is>
      </c>
      <c r="B9" t="inlineStr">
        <is>
          <t>Hi-MO 6</t>
        </is>
      </c>
      <c r="C9" t="inlineStr">
        <is>
          <t>LR5-72HTH-575M</t>
        </is>
      </c>
      <c r="D9">
        <v>575</v>
      </c>
      <c r="E9">
        <v>43.32</v>
      </c>
      <c r="F9">
        <v>13.28</v>
      </c>
      <c r="G9">
        <v>51.59</v>
      </c>
      <c r="H9">
        <v>14.14</v>
      </c>
      <c r="I9">
        <v>-0.29</v>
      </c>
      <c r="J9">
        <v>-0.23</v>
      </c>
      <c r="K9">
        <v>0.05</v>
      </c>
      <c r="L9">
        <v>2278</v>
      </c>
      <c r="M9">
        <v>1134</v>
      </c>
      <c r="N9">
        <v>35</v>
      </c>
      <c r="O9" t="inlineStr">
        <is>
          <t>seed_verify_datasheet</t>
        </is>
      </c>
      <c r="P9" t="inlineStr">
        <is>
          <t>Starter record for string sizing tests.</t>
        </is>
      </c>
    </row>
    <row r="10">
      <c r="A10" t="inlineStr">
        <is>
          <t>LONGi</t>
        </is>
      </c>
      <c r="B10" t="inlineStr">
        <is>
          <t>Hi-MO 6</t>
        </is>
      </c>
      <c r="C10" t="inlineStr">
        <is>
          <t>LR5-72HTH-580M</t>
        </is>
      </c>
      <c r="D10">
        <v>580</v>
      </c>
      <c r="E10">
        <v>43.51</v>
      </c>
      <c r="F10">
        <v>13.34</v>
      </c>
      <c r="G10">
        <v>51.78</v>
      </c>
      <c r="H10">
        <v>14.2</v>
      </c>
      <c r="I10">
        <v>-0.29</v>
      </c>
      <c r="J10">
        <v>-0.23</v>
      </c>
      <c r="K10">
        <v>0.05</v>
      </c>
      <c r="L10">
        <v>2278</v>
      </c>
      <c r="M10">
        <v>1134</v>
      </c>
      <c r="N10">
        <v>35</v>
      </c>
      <c r="O10" t="inlineStr">
        <is>
          <t>seed_verify_datasheet</t>
        </is>
      </c>
      <c r="P10" t="inlineStr">
        <is>
          <t>Starter record for string sizing tests.</t>
        </is>
      </c>
    </row>
    <row r="11">
      <c r="A11" t="inlineStr">
        <is>
          <t>LONGi</t>
        </is>
      </c>
      <c r="B11" t="inlineStr">
        <is>
          <t>Hi-MO 6</t>
        </is>
      </c>
      <c r="C11" t="inlineStr">
        <is>
          <t>LR5-72HTH-585M</t>
        </is>
      </c>
      <c r="D11">
        <v>585</v>
      </c>
      <c r="E11">
        <v>43.7</v>
      </c>
      <c r="F11">
        <v>13.39</v>
      </c>
      <c r="G11">
        <v>51.97</v>
      </c>
      <c r="H11">
        <v>14.26</v>
      </c>
      <c r="I11">
        <v>-0.29</v>
      </c>
      <c r="J11">
        <v>-0.23</v>
      </c>
      <c r="K11">
        <v>0.05</v>
      </c>
      <c r="L11">
        <v>2278</v>
      </c>
      <c r="M11">
        <v>1134</v>
      </c>
      <c r="N11">
        <v>35</v>
      </c>
      <c r="O11" t="inlineStr">
        <is>
          <t>seed_verify_datasheet</t>
        </is>
      </c>
      <c r="P11" t="inlineStr">
        <is>
          <t>Starter record for string sizing tests.</t>
        </is>
      </c>
    </row>
  </sheetData>
  <autoFilter ref="A1:P11"/>
  <pageMargins left="0.7" right="0.7" top="0.75" bottom="0.75" header="0.3" footer="0.3"/>
</worksheet>
</file>