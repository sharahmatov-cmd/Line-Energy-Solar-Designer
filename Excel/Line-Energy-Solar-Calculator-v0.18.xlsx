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v0.18.0-draft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  <row r="29">
      <c r="A29" t="inlineStr">
        <is>
          <t>Bulk scenarios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Bulk PASS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Bulk FAIL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Bulk VERIFY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Region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Annual generation</t>
        </is>
      </c>
      <c r="B34" s="3">
        <f>Economics!B8</f>
      </c>
      <c r="C34" t="inlineStr">
        <is>
          <t>kWh/year</t>
        </is>
      </c>
      <c r="D34" t="inlineStr">
        <is>
          <t>Regional yield estimate</t>
        </is>
      </c>
    </row>
    <row r="35">
      <c r="A35" t="inlineStr">
        <is>
          <t>Annual savings</t>
        </is>
      </c>
      <c r="B35" s="3">
        <f>Economics!B12</f>
      </c>
      <c r="C35" t="inlineStr">
        <is>
          <t>RUB/year</t>
        </is>
      </c>
      <c r="D35" t="inlineStr">
        <is>
          <t>Self-consumption plus export</t>
        </is>
      </c>
    </row>
    <row r="36">
      <c r="A36" t="inlineStr">
        <is>
          <t>Simple payback</t>
        </is>
      </c>
      <c r="B36" s="3">
        <f>Economics!B13</f>
      </c>
      <c r="C36" t="inlineStr">
        <is>
          <t>years</t>
        </is>
      </c>
      <c r="D36" t="inlineStr">
        <is>
          <t>Installed cost / annual savings</t>
        </is>
      </c>
    </row>
    <row r="37">
      <c r="A37" t="inlineStr">
        <is>
          <t>Tariff source status</t>
        </is>
      </c>
      <c r="B37" s="3">
        <f>Economics!B15</f>
      </c>
      <c r="C37" t="inlineStr">
        <is>
          <t/>
        </is>
      </c>
      <c r="D37" t="inlineStr">
        <is>
          <t>Must be verified</t>
        </is>
      </c>
    </row>
    <row r="38">
      <c r="A38" t="inlineStr">
        <is>
          <t>Monthly consumption</t>
        </is>
      </c>
      <c r="B38" s="3">
        <f>Inputs!B29</f>
      </c>
      <c r="C38" t="inlineStr">
        <is>
          <t>kWh/month</t>
        </is>
      </c>
      <c r="D38" t="inlineStr">
        <is>
          <t>Customer input</t>
        </is>
      </c>
    </row>
    <row r="39">
      <c r="A39" t="inlineStr">
        <is>
          <t>Target coverage</t>
        </is>
      </c>
      <c r="B39" s="3">
        <f>Inputs!B30</f>
      </c>
      <c r="C39" t="inlineStr">
        <is>
          <t>%</t>
        </is>
      </c>
      <c r="D39" t="inlineStr">
        <is>
          <t>Option sizing target</t>
        </is>
      </c>
    </row>
    <row r="40">
      <c r="A40" t="inlineStr">
        <is>
          <t>Recommended standard size</t>
        </is>
      </c>
      <c r="B40" s="3">
        <f>SystemOptions!H3</f>
      </c>
      <c r="C40" t="inlineStr">
        <is>
          <t>kWp</t>
        </is>
      </c>
      <c r="D40" t="inlineStr">
        <is>
          <t>SystemOptions</t>
        </is>
      </c>
    </row>
    <row r="41">
      <c r="A41" t="inlineStr">
        <is>
          <t>Standard option annual generation</t>
        </is>
      </c>
      <c r="B41" s="3">
        <f>SystemOptions!K3</f>
      </c>
      <c r="C41" t="inlineStr">
        <is>
          <t>kWh/year</t>
        </is>
      </c>
      <c r="D41" t="inlineStr">
        <is>
          <t>SystemOptions</t>
        </is>
      </c>
    </row>
    <row r="42">
      <c r="A42" t="inlineStr">
        <is>
          <t>Standard option payback day-night</t>
        </is>
      </c>
      <c r="B42" s="3">
        <f>SystemOptions!R3</f>
      </c>
      <c r="C42" t="inlineStr">
        <is>
          <t>years</t>
        </is>
      </c>
      <c r="D42" t="inlineStr">
        <is>
          <t>SystemOptions</t>
        </is>
      </c>
    </row>
    <row r="43">
      <c r="A43" t="inlineStr">
        <is>
          <t>Best month generation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Worst month generation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Monthly self-consumption value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Monthly export value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v0.18.0-draft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Region / tariff zone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Choose from tariff database</t>
        </is>
      </c>
    </row>
    <row r="26">
      <c r="A26" t="inlineStr">
        <is>
          <t>Self-consumption share</t>
        </is>
      </c>
      <c r="B26" s="4">
        <v>70</v>
      </c>
      <c r="C26" t="inlineStr">
        <is>
          <t>%</t>
        </is>
      </c>
      <c r="D26" t="inlineStr">
        <is>
          <t>Share of generation consumed on site</t>
        </is>
      </c>
    </row>
    <row r="27">
      <c r="A27" t="inlineStr">
        <is>
          <t>Installed system cost</t>
        </is>
      </c>
      <c r="B27" s="4">
        <v>800000</v>
      </c>
      <c r="C27" t="inlineStr">
        <is>
          <t>RUB</t>
        </is>
      </c>
      <c r="D27" t="inlineStr">
        <is>
          <t>Used for simple payback estimate</t>
        </is>
      </c>
    </row>
    <row r="28">
      <c r="A28" t="inlineStr">
        <is>
          <t>Tariff source status</t>
        </is>
      </c>
      <c r="B28" t="inlineStr" s="4">
        <is>
          <t>VERIFY</t>
        </is>
      </c>
      <c r="C28" t="inlineStr">
        <is>
          <t/>
        </is>
      </c>
      <c r="D28" t="inlineStr">
        <is>
          <t>Tariffs must be checked for exact supplier/date</t>
        </is>
      </c>
    </row>
    <row r="29">
      <c r="A29" t="inlineStr">
        <is>
          <t>Monthly consumption</t>
        </is>
      </c>
      <c r="B29" s="4">
        <v>1000</v>
      </c>
      <c r="C29" t="inlineStr">
        <is>
          <t>kWh/month</t>
        </is>
      </c>
      <c r="D29" t="inlineStr">
        <is>
          <t>Customer monthly electricity consumption</t>
        </is>
      </c>
    </row>
    <row r="30">
      <c r="A30" t="inlineStr">
        <is>
          <t>Target coverage</t>
        </is>
      </c>
      <c r="B30" s="4">
        <v>70</v>
      </c>
      <c r="C30" t="inlineStr">
        <is>
          <t>%</t>
        </is>
      </c>
      <c r="D30" t="inlineStr">
        <is>
          <t>Recommended options cover this share of annual consumption</t>
        </is>
      </c>
    </row>
    <row r="31">
      <c r="A31" t="inlineStr">
        <is>
          <t>Tariff mode</t>
        </is>
      </c>
      <c r="B31" t="inlineStr" s="4">
        <is>
          <t>Single-rate</t>
        </is>
      </c>
      <c r="C31" t="inlineStr">
        <is>
          <t/>
        </is>
      </c>
      <c r="D31" t="inlineStr">
        <is>
          <t>Single-rate or Day-night comparison</t>
        </is>
      </c>
    </row>
    <row r="32">
      <c r="A32" t="inlineStr">
        <is>
          <t>Day consumption share</t>
        </is>
      </c>
      <c r="B32" s="4">
        <v>65</v>
      </c>
      <c r="C32" t="inlineStr">
        <is>
          <t>%</t>
        </is>
      </c>
      <c r="D32" t="inlineStr">
        <is>
          <t>Used for day-night tariff comparison</t>
        </is>
      </c>
    </row>
    <row r="33">
      <c r="A33" t="inlineStr">
        <is>
          <t>Day tariff</t>
        </is>
      </c>
      <c r="B33" s="4">
        <v>9.8</v>
      </c>
      <c r="C33" t="inlineStr">
        <is>
          <t>RUB/kWh</t>
        </is>
      </c>
      <c r="D33" t="inlineStr">
        <is>
          <t>Starter day tariff; verify supplier/date</t>
        </is>
      </c>
    </row>
    <row r="34">
      <c r="A34" t="inlineStr">
        <is>
          <t>Night tariff</t>
        </is>
      </c>
      <c r="B34" s="4">
        <v>3.5</v>
      </c>
      <c r="C34" t="inlineStr">
        <is>
          <t>RUB/kWh</t>
        </is>
      </c>
      <c r="D34" t="inlineStr">
        <is>
          <t>Starter night tariff; verify supplier/date</t>
        </is>
      </c>
    </row>
    <row r="35">
      <c r="A35" t="inlineStr">
        <is>
          <t>Design note</t>
        </is>
      </c>
      <c r="B35" t="inlineStr">
        <is>
          <t>Starter calculation only</t>
        </is>
      </c>
      <c r="C35" t="inlineStr">
        <is>
          <t/>
        </is>
      </c>
      <c r="D35" t="inlineStr">
        <is>
          <t>Verify datasheets and mounting manuals before commercial use</t>
        </is>
      </c>
    </row>
  </sheetData>
  <dataValidations count="9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 or ground mount">
      <formula1>Metal tile,Standing seam,Trapezoidal sheet,Flat roof,Ground mount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  <dataValidation type="list" allowBlank="0" showInputMessage="1" sqref="B25" promptTitle="Region" prompt="Choose tariff region">
      <formula1>Tariffs!$A$2:$A$6</formula1>
    </dataValidation>
    <dataValidation type="list" allowBlank="0" showInputMessage="1" sqref="B31" promptTitle="Tariff mode" prompt="Choose tariff comparison mode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 / ground posts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Hooks, seam clamps, or ground posts depending on installation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 / ground posts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Inverter</t>
        </is>
      </c>
      <c r="C1" t="inlineStr" s="1">
        <is>
          <t>Panel</t>
        </is>
      </c>
      <c r="D1" t="inlineStr" s="1">
        <is>
          <t>Battery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Battery</t>
        </is>
      </c>
      <c r="L1" t="inlineStr" s="1">
        <is>
          <t>Overall</t>
        </is>
      </c>
      <c r="M1" t="inlineStr" s="1">
        <is>
          <t>Notes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Economics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Region / tariff zone</t>
        </is>
      </c>
      <c r="B2" s="3">
        <f>Inputs!B25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Selected panel power</t>
        </is>
      </c>
      <c r="B3" s="3">
        <f>INDEX(Panels!D:D,MATCH(Inputs!B4,Panels!C:C,0))</f>
      </c>
      <c r="C3" t="inlineStr">
        <is>
          <t>W</t>
        </is>
      </c>
      <c r="D3" t="inlineStr">
        <is>
          <t>From Panels database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PV system size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Specific yield</t>
        </is>
      </c>
      <c r="B6" s="3">
        <f>INDEX(Regions!B:B,MATCH(B2,Regions!A:A,0))</f>
      </c>
      <c r="C6" t="inlineStr">
        <is>
          <t>kWh/kWp/year</t>
        </is>
      </c>
      <c r="D6" t="inlineStr">
        <is>
          <t>From Regions database</t>
        </is>
      </c>
    </row>
    <row r="7">
      <c r="A7" t="inlineStr">
        <is>
          <t>Performance ratio</t>
        </is>
      </c>
      <c r="B7" s="3">
        <v>0.85</v>
      </c>
      <c r="C7" t="inlineStr">
        <is>
          <t>factor</t>
        </is>
      </c>
      <c r="D7" t="inlineStr">
        <is>
          <t>Starter system loss factor</t>
        </is>
      </c>
    </row>
    <row r="8">
      <c r="A8" t="inlineStr">
        <is>
          <t>Annual generation</t>
        </is>
      </c>
      <c r="B8" s="3">
        <f>ROUND(B5*B6*B7,0)</f>
      </c>
      <c r="C8" t="inlineStr">
        <is>
          <t>kWh/year</t>
        </is>
      </c>
      <c r="D8" t="inlineStr">
        <is>
          <t>PV size x yield x performance ratio</t>
        </is>
      </c>
    </row>
    <row r="9">
      <c r="A9" t="inlineStr">
        <is>
          <t>Retail tariff</t>
        </is>
      </c>
      <c r="B9" s="3">
        <f>INDEX(Tariffs!B:B,MATCH(B2,Tariffs!A:A,0))</f>
      </c>
      <c r="C9" t="inlineStr">
        <is>
          <t>RUB/kWh</t>
        </is>
      </c>
      <c r="D9" t="inlineStr">
        <is>
          <t>From Tariffs database</t>
        </is>
      </c>
    </row>
    <row r="10">
      <c r="A10" t="inlineStr">
        <is>
          <t>Export / green tariff</t>
        </is>
      </c>
      <c r="B10" s="3">
        <f>INDEX(Tariffs!C:C,MATCH(B2,Tariffs!A:A,0))</f>
      </c>
      <c r="C10" t="inlineStr">
        <is>
          <t>RUB/kWh</t>
        </is>
      </c>
      <c r="D10" t="inlineStr">
        <is>
          <t>Starter microgeneration purchase value</t>
        </is>
      </c>
    </row>
    <row r="11">
      <c r="A11" t="inlineStr">
        <is>
          <t>Self-consumption share</t>
        </is>
      </c>
      <c r="B11" s="3">
        <f>Inputs!B26</f>
      </c>
      <c r="C11" t="inlineStr">
        <is>
          <t>%</t>
        </is>
      </c>
      <c r="D11" t="inlineStr">
        <is>
          <t>From Inputs</t>
        </is>
      </c>
    </row>
    <row r="12">
      <c r="A12" t="inlineStr">
        <is>
          <t>Annual savings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Simple payback</t>
        </is>
      </c>
      <c r="B13" s="3">
        <f>IF(B12&gt;0,ROUND(B14/B12,1),"")</f>
      </c>
      <c r="C13" t="inlineStr">
        <is>
          <t>years</t>
        </is>
      </c>
      <c r="D13" t="inlineStr">
        <is>
          <t>Installed cost / annual savings</t>
        </is>
      </c>
    </row>
    <row r="14">
      <c r="A14" t="inlineStr">
        <is>
          <t>Installed system cost</t>
        </is>
      </c>
      <c r="B14" s="3">
        <f>Inputs!B27</f>
      </c>
      <c r="C14" t="inlineStr">
        <is>
          <t>RUB</t>
        </is>
      </c>
      <c r="D14" t="inlineStr">
        <is>
          <t>From Inputs</t>
        </is>
      </c>
    </row>
    <row r="15">
      <c r="A15" t="inlineStr">
        <is>
          <t>Tariff source status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Retail tariff source</t>
        </is>
      </c>
      <c r="B16" s="3">
        <f>INDEX(Tariffs!D:D,MATCH(B2,Tariffs!A:A,0))</f>
      </c>
      <c r="C16" t="inlineStr">
        <is>
          <t/>
        </is>
      </c>
      <c r="D16" t="inlineStr">
        <is>
          <t>Source URL</t>
        </is>
      </c>
    </row>
    <row r="17">
      <c r="A17" t="inlineStr">
        <is>
          <t>Export tariff source</t>
        </is>
      </c>
      <c r="B17" s="3">
        <f>INDEX(Tariffs!E:E,MATCH(B2,Tariffs!A:A,0))</f>
      </c>
      <c r="C17" t="inlineStr">
        <is>
          <t/>
        </is>
      </c>
      <c r="D17" t="inlineStr">
        <is>
          <t>Source URL</t>
        </is>
      </c>
    </row>
    <row r="18">
      <c r="A18" t="inlineStr">
        <is>
          <t>Monthly consumption</t>
        </is>
      </c>
      <c r="B18" s="3">
        <f>Inputs!B29</f>
      </c>
      <c r="C18" t="inlineStr">
        <is>
          <t>kWh/month</t>
        </is>
      </c>
      <c r="D18" t="inlineStr">
        <is>
          <t>From Inputs</t>
        </is>
      </c>
    </row>
    <row r="19">
      <c r="A19" t="inlineStr">
        <is>
          <t>Annual consumption</t>
        </is>
      </c>
      <c r="B19" s="3">
        <f>B18*12</f>
      </c>
      <c r="C19" t="inlineStr">
        <is>
          <t>kWh/year</t>
        </is>
      </c>
      <c r="D19" t="inlineStr">
        <is>
          <t>Monthly consumption x 12</t>
        </is>
      </c>
    </row>
    <row r="20">
      <c r="A20" t="inlineStr">
        <is>
          <t>Target annual coverage</t>
        </is>
      </c>
      <c r="B20" s="3">
        <f>B19*Inputs!B30/100</f>
      </c>
      <c r="C20" t="inlineStr">
        <is>
          <t>kWh/year</t>
        </is>
      </c>
      <c r="D20" t="inlineStr">
        <is>
          <t>Annual consumption x target coverage</t>
        </is>
      </c>
    </row>
    <row r="21">
      <c r="A21" t="inlineStr">
        <is>
          <t>Day-night blended tariff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Day share x day tariff plus night share x night tariff</t>
        </is>
      </c>
    </row>
    <row r="22">
      <c r="A22" t="inlineStr">
        <is>
          <t>Estimated current annual cost</t>
        </is>
      </c>
      <c r="B22" s="3">
        <f>B19*B9</f>
      </c>
      <c r="C22" t="inlineStr">
        <is>
          <t>RUB/year</t>
        </is>
      </c>
      <c r="D22" t="inlineStr">
        <is>
          <t>Annual consumption x retail tariff</t>
        </is>
      </c>
    </row>
    <row r="23">
      <c r="A23" t="inlineStr">
        <is>
          <t>Estimated day-night annual cost</t>
        </is>
      </c>
      <c r="B23" s="3">
        <f>B19*B21</f>
      </c>
      <c r="C23" t="inlineStr">
        <is>
          <t>RUB/year</t>
        </is>
      </c>
      <c r="D23" t="inlineStr">
        <is>
          <t>Annual consumption x blended day-night tariff</t>
        </is>
      </c>
    </row>
    <row r="24">
      <c r="A24" t="inlineStr">
        <is>
          <t>Potential day-night saving before PV</t>
        </is>
      </c>
      <c r="B24" s="3">
        <f>MAX(0,B22-B23)</f>
      </c>
      <c r="C24" t="inlineStr">
        <is>
          <t>RUB/year</t>
        </is>
      </c>
      <c r="D24" t="inlineStr">
        <is>
          <t>Current cost minus day-night cost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Option</t>
        </is>
      </c>
      <c r="B1" t="inlineStr" s="1">
        <is>
          <t>Quality</t>
        </is>
      </c>
      <c r="C1" t="inlineStr" s="1">
        <is>
          <t>Cost per kWp</t>
        </is>
      </c>
      <c r="D1" t="inlineStr" s="1">
        <is>
          <t>Service life</t>
        </is>
      </c>
      <c r="E1" t="inlineStr" s="1">
        <is>
          <t>Degradation</t>
        </is>
      </c>
      <c r="F1" t="inlineStr" s="1">
        <is>
          <t>Required annual generation</t>
        </is>
      </c>
      <c r="G1" t="inlineStr" s="1">
        <is>
          <t>Required kWp</t>
        </is>
      </c>
      <c r="H1" t="inlineStr" s="1">
        <is>
          <t>Recommended kWp</t>
        </is>
      </c>
      <c r="I1" t="inlineStr" s="1">
        <is>
          <t>Panels</t>
        </is>
      </c>
      <c r="J1" t="inlineStr" s="1">
        <is>
          <t>Daily generation</t>
        </is>
      </c>
      <c r="K1" t="inlineStr" s="1">
        <is>
          <t>Monthly generation</t>
        </is>
      </c>
      <c r="L1" t="inlineStr" s="1">
        <is>
          <t>Annual generation</t>
        </is>
      </c>
      <c r="M1" t="inlineStr" s="1">
        <is>
          <t>Coverage</t>
        </is>
      </c>
      <c r="N1" t="inlineStr" s="1">
        <is>
          <t>Estimated cost</t>
        </is>
      </c>
      <c r="O1" t="inlineStr" s="1">
        <is>
          <t>Single-rate savings</t>
        </is>
      </c>
      <c r="P1" t="inlineStr" s="1">
        <is>
          <t>Day-night savings</t>
        </is>
      </c>
      <c r="Q1" t="inlineStr" s="1">
        <is>
          <t>Green tariff export revenue</t>
        </is>
      </c>
      <c r="R1" t="inlineStr" s="1">
        <is>
          <t>Payback day-night</t>
        </is>
      </c>
      <c r="S1" t="inlineStr" s="1">
        <is>
          <t>Notes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Higher allowance; verify commercial offer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Balanced default option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Lower cost allowance; verify warranties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Year</t>
        </is>
      </c>
      <c r="B1" t="inlineStr" s="1">
        <is>
          <t>Premium generation</t>
        </is>
      </c>
      <c r="C1" t="inlineStr" s="1">
        <is>
          <t>Standard generation</t>
        </is>
      </c>
      <c r="D1" t="inlineStr" s="1">
        <is>
          <t>Economy generation</t>
        </is>
      </c>
      <c r="E1" t="inlineStr" s="1">
        <is>
          <t>Premium cumulative</t>
        </is>
      </c>
      <c r="F1" t="inlineStr" s="1">
        <is>
          <t>Standard cumulative</t>
        </is>
      </c>
      <c r="G1" t="inlineStr" s="1">
        <is>
          <t>Economy cumulative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Month</t>
        </is>
      </c>
      <c r="B1" t="inlineStr" s="1">
        <is>
          <t>Generation</t>
        </is>
      </c>
      <c r="C1" t="inlineStr" s="1">
        <is>
          <t>Consumption</t>
        </is>
      </c>
      <c r="D1" t="inlineStr" s="1">
        <is>
          <t>Self-consumed</t>
        </is>
      </c>
      <c r="E1" t="inlineStr" s="1">
        <is>
          <t>Self-consumption value</t>
        </is>
      </c>
      <c r="F1" t="inlineStr" s="1">
        <is>
          <t>Exported</t>
        </is>
      </c>
      <c r="G1" t="inlineStr" s="1">
        <is>
          <t>Export value</t>
        </is>
      </c>
      <c r="H1" t="inlineStr" s="1">
        <is>
          <t>Total value</t>
        </is>
      </c>
      <c r="I1" t="inlineStr" s="1">
        <is>
          <t>Coverage</t>
        </is>
      </c>
    </row>
    <row r="2">
      <c r="A2" t="inlineStr">
        <is>
          <t>Jan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Feb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Mar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Apr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May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Jun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Jul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Aug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Sep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Oct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Nov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Dec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Total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