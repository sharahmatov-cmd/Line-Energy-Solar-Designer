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DropdownLists" sheetId="7" r:id="rId7"/>
    <sheet name="Mounting" sheetId="8" r:id="rId8"/>
    <sheet name="Equipment" sheetId="9" r:id="rId9"/>
    <sheet name="CableProtection" sheetId="10" r:id="rId10"/>
    <sheet name="BulkCompatibility" sheetId="11" r:id="rId11"/>
    <sheet name="Economics" sheetId="12" r:id="rId12"/>
    <sheet name="SystemOptions" sheetId="13" r:id="rId13"/>
    <sheet name="Lifetime" sheetId="14" r:id="rId14"/>
    <sheet name="OptionTiers" sheetId="15" r:id="rId15"/>
    <sheet name="MonthlyGeneration" sheetId="16" r:id="rId16"/>
    <sheet name="MonthlyYieldProfile" sheetId="17" r:id="rId17"/>
    <sheet name="CableSizing" sheetId="18" r:id="rId18"/>
    <sheet name="ProtectionRules" sheetId="19" r:id="rId19"/>
    <sheet name="SpdRules" sheetId="20" r:id="rId20"/>
    <sheet name="EarthingRules" sheetId="21" r:id="rId21"/>
    <sheet name="CableDerating" sheetId="22" r:id="rId22"/>
    <sheet name="MountingRules" sheetId="23" r:id="rId23"/>
    <sheet name="Regions" sheetId="24" r:id="rId24"/>
    <sheet name="Tariffs" sheetId="25" r:id="rId25"/>
    <sheet name="Compatibility" sheetId="26" r:id="rId26"/>
  </sheets>
  <definedNames>
    <definedName name="InverterModels">'DropdownLists'!$A$3:$A$186</definedName>
    <definedName name="PanelModels">'DropdownLists'!$B$3:$B$74</definedName>
    <definedName name="BatteryModels">'DropdownLists'!$C$3:$C$26</definedName>
    <definedName name="RoofTypes">'DropdownLists'!$D$3:$D$7</definedName>
    <definedName name="InstallationMethods">'DropdownLists'!$E$3:$E$5</definedName>
    <definedName name="LightningOptions">'DropdownLists'!$F$3:$F$6</definedName>
    <definedName name="EarthingSystems">'DropdownLists'!$G$3:$G$6</definedName>
    <definedName name="TariffRegions">'DropdownLists'!$H$3:$H$7</definedName>
    <definedName name="TariffModes">'DropdownLists'!$I$3:$I$4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Конструктор Line-Energy Solar (Line-Energy Solar Designer)</t>
        </is>
      </c>
      <c r="B1" t="inlineStr" s="2">
        <is>
          <t>v0.23.0-draft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Показатель (Item)</t>
        </is>
      </c>
      <c r="B2" t="inlineStr" s="1">
        <is>
          <t>Значение (Value)</t>
        </is>
      </c>
      <c r="C2" t="inlineStr" s="1">
        <is>
          <t>Ед. изм. (Unit)</t>
        </is>
      </c>
      <c r="D2" t="inlineStr" s="1">
        <is>
          <t>Статус / примечание (Status / Note)</t>
        </is>
      </c>
    </row>
    <row r="3">
      <c r="A3" t="inlineStr">
        <is>
          <t>Общая совместимость (Overall compatibility)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Электрический статус PV (PV electrical status)</t>
        </is>
      </c>
      <c r="B4" s="3">
        <f>Results!B25</f>
      </c>
      <c r="C4" t="inlineStr">
        <is>
          <t/>
        </is>
      </c>
      <c r="D4" t="inlineStr">
        <is>
          <t>Из листа Results (From Results)</t>
        </is>
      </c>
    </row>
    <row r="5">
      <c r="A5" t="inlineStr">
        <is>
          <t>Статус АКБ (Battery status)</t>
        </is>
      </c>
      <c r="B5" s="3">
        <f>Compatibility!B6</f>
      </c>
      <c r="C5" t="inlineStr">
        <is>
          <t/>
        </is>
      </c>
      <c r="D5" t="inlineStr">
        <is>
          <t>Из листа Compatibility (From Compatibility)</t>
        </is>
      </c>
    </row>
    <row r="6">
      <c r="A6" t="inlineStr">
        <is>
          <t>Полнота datasheet (Datasheet completeness)</t>
        </is>
      </c>
      <c r="B6" s="3">
        <f>Compatibility!B7</f>
      </c>
      <c r="C6" t="inlineStr">
        <is>
          <t/>
        </is>
      </c>
      <c r="D6" t="inlineStr">
        <is>
          <t>Из листа Compatibility (From Compatibility)</t>
        </is>
      </c>
    </row>
    <row r="7">
      <c r="A7" t="inlineStr">
        <is>
          <t>Инвертор (Inverter)</t>
        </is>
      </c>
      <c r="B7" s="3">
        <f>Inputs!B3</f>
      </c>
      <c r="C7" t="inlineStr">
        <is>
          <t/>
        </is>
      </c>
      <c r="D7" t="inlineStr">
        <is>
          <t>Выбранная модель (Selected model)</t>
        </is>
      </c>
    </row>
    <row r="8">
      <c r="A8" t="inlineStr">
        <is>
          <t>Панель (Panel)</t>
        </is>
      </c>
      <c r="B8" s="3">
        <f>Inputs!B4</f>
      </c>
      <c r="C8" t="inlineStr">
        <is>
          <t/>
        </is>
      </c>
      <c r="D8" t="inlineStr">
        <is>
          <t>Выбранная модель (Selected model)</t>
        </is>
      </c>
    </row>
    <row r="9">
      <c r="A9" t="inlineStr">
        <is>
          <t>АКБ (Battery)</t>
        </is>
      </c>
      <c r="B9" s="3">
        <f>Inputs!B9</f>
      </c>
      <c r="C9" t="inlineStr">
        <is>
          <t/>
        </is>
      </c>
      <c r="D9" t="inlineStr">
        <is>
          <t>Выбранная модель (Selected model)</t>
        </is>
      </c>
    </row>
    <row r="10">
      <c r="A10" t="inlineStr">
        <is>
          <t>Панелей в строке (Panels per string)</t>
        </is>
      </c>
      <c r="B10" s="3">
        <f>Inputs!B7</f>
      </c>
      <c r="C10" t="inlineStr">
        <is>
          <t>pcs</t>
        </is>
      </c>
      <c r="D10" t="inlineStr">
        <is>
          <t>Выбранное значение (Selected value)</t>
        </is>
      </c>
    </row>
    <row r="11">
      <c r="A11" t="inlineStr">
        <is>
          <t>Рекомендуемый диапазон строки (Recommended string range)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Общая энергия АКБ (Battery total energy)</t>
        </is>
      </c>
      <c r="B12" s="3">
        <f>Results!B29</f>
      </c>
      <c r="C12" t="inlineStr">
        <is>
          <t>kWh</t>
        </is>
      </c>
      <c r="D12" t="inlineStr">
        <is>
          <t>Номинальная энергия (Nominal energy)</t>
        </is>
      </c>
    </row>
    <row r="13">
      <c r="A13" t="inlineStr">
        <is>
          <t>Тип кровли (Roof type)</t>
        </is>
      </c>
      <c r="B13" s="3">
        <f>Inputs!B11</f>
      </c>
      <c r="C13" t="inlineStr">
        <is>
          <t/>
        </is>
      </c>
      <c r="D13" t="inlineStr">
        <is>
          <t>Выбранная кровля (Selected roof)</t>
        </is>
      </c>
    </row>
    <row r="14">
      <c r="A14" t="inlineStr">
        <is>
          <t>Всего панелей (Total panels)</t>
        </is>
      </c>
      <c r="B14" s="3">
        <f>Inputs!B12</f>
      </c>
      <c r="C14" t="inlineStr">
        <is>
          <t>pcs</t>
        </is>
      </c>
      <c r="D14" t="inlineStr">
        <is>
          <t>Ввод для крепежа (Mounting input)</t>
        </is>
      </c>
    </row>
    <row r="15">
      <c r="A15" t="inlineStr">
        <is>
          <t>Ряды (Rows)</t>
        </is>
      </c>
      <c r="B15" s="3">
        <f>Mounting!B5</f>
      </c>
      <c r="C15" t="inlineStr">
        <is>
          <t>rows</t>
        </is>
      </c>
      <c r="D15" t="inlineStr">
        <is>
          <t>Расчет крепежа (Mounting calculation)</t>
        </is>
      </c>
    </row>
    <row r="16">
      <c r="A16" t="inlineStr">
        <is>
          <t>Рейки (Rails)</t>
        </is>
      </c>
      <c r="B16" s="3">
        <f>Mounting!B13</f>
      </c>
      <c r="C16" t="inlineStr">
        <is>
          <t>pcs</t>
        </is>
      </c>
      <c r="D16" t="inlineStr">
        <is>
          <t>Расчет крепежа (Mounting calculation)</t>
        </is>
      </c>
    </row>
    <row r="17">
      <c r="A17" t="inlineStr">
        <is>
          <t>Крайние прижимы (End clamps)</t>
        </is>
      </c>
      <c r="B17" s="3">
        <f>Mounting!B15</f>
      </c>
      <c r="C17" t="inlineStr">
        <is>
          <t>pcs</t>
        </is>
      </c>
      <c r="D17" t="inlineStr">
        <is>
          <t>Расчет крепежа (Mounting calculation)</t>
        </is>
      </c>
    </row>
    <row r="18">
      <c r="A18" t="inlineStr">
        <is>
          <t>Средние прижимы (Middle clamps)</t>
        </is>
      </c>
      <c r="B18" s="3">
        <f>Mounting!B16</f>
      </c>
      <c r="C18" t="inlineStr">
        <is>
          <t>pcs</t>
        </is>
      </c>
      <c r="D18" t="inlineStr">
        <is>
          <t>Расчет крепежа (Mounting calculation)</t>
        </is>
      </c>
    </row>
    <row r="19">
      <c r="A19" t="inlineStr">
        <is>
          <t>Клипсы заземления (Grounding clips)</t>
        </is>
      </c>
      <c r="B19" s="3">
        <f>Mounting!B18</f>
      </c>
      <c r="C19" t="inlineStr">
        <is>
          <t>pcs</t>
        </is>
      </c>
      <c r="D19" t="inlineStr">
        <is>
          <t>Расчет крепежа (Mounting calculation)</t>
        </is>
      </c>
    </row>
    <row r="20">
      <c r="A20" t="inlineStr">
        <is>
          <t>Кабельные клипсы (Cable clips)</t>
        </is>
      </c>
      <c r="B20" s="3">
        <f>Mounting!B19</f>
      </c>
      <c r="C20" t="inlineStr">
        <is>
          <t>pcs</t>
        </is>
      </c>
      <c r="D20" t="inlineStr">
        <is>
          <t>Расчет крепежа (Mounting calculation)</t>
        </is>
      </c>
    </row>
    <row r="21">
      <c r="A21" t="inlineStr">
        <is>
          <t>Позиций оборудования (Equipment list items)</t>
        </is>
      </c>
      <c r="B21" s="3">
        <f>COUNTA(Equipment!A2:A35)</f>
      </c>
      <c r="C21" t="inlineStr">
        <is>
          <t>items</t>
        </is>
      </c>
      <c r="D21" t="inlineStr">
        <is>
          <t>Сформированный список оборудования (Generated equipment output)</t>
        </is>
      </c>
    </row>
    <row r="22">
      <c r="A22" t="inlineStr">
        <is>
          <t>Позиций защиты (Protection items)</t>
        </is>
      </c>
      <c r="B22" s="3">
        <f>COUNTA(CableProtection!A2:A32)</f>
      </c>
      <c r="C22" t="inlineStr">
        <is>
          <t>items</t>
        </is>
      </c>
      <c r="D22" t="inlineStr">
        <is>
          <t>Сформированный список защиты (Generated protection output)</t>
        </is>
      </c>
    </row>
    <row r="23">
      <c r="A23" t="inlineStr">
        <is>
          <t>Сечение DC кабеля (DC cable section)</t>
        </is>
      </c>
      <c r="B23" s="3">
        <f>CableProtection!B15</f>
      </c>
      <c r="C23" t="inlineStr">
        <is>
          <t>mm2</t>
        </is>
      </c>
      <c r="D23" t="inlineStr">
        <is>
          <t>Стартовый подбор (Starter sizing)</t>
        </is>
      </c>
    </row>
    <row r="24">
      <c r="A24" t="inlineStr">
        <is>
          <t>Сечение AC кабеля (AC cable section)</t>
        </is>
      </c>
      <c r="B24" s="3">
        <f>CableProtection!B19</f>
      </c>
      <c r="C24" t="inlineStr">
        <is>
          <t>mm2</t>
        </is>
      </c>
      <c r="D24" t="inlineStr">
        <is>
          <t>Стартовый подбор (Starter sizing)</t>
        </is>
      </c>
    </row>
    <row r="25">
      <c r="A25" t="inlineStr">
        <is>
          <t>Сечение кабеля АКБ (Battery cable section)</t>
        </is>
      </c>
      <c r="B25" s="3">
        <f>CableProtection!B24</f>
      </c>
      <c r="C25" t="inlineStr">
        <is>
          <t>mm2</t>
        </is>
      </c>
      <c r="D25" t="inlineStr">
        <is>
          <t>Стартовый подбор (Starter sizing)</t>
        </is>
      </c>
    </row>
    <row r="26">
      <c r="A26" t="inlineStr">
        <is>
          <t>Рекомендация УЗИП (SPD recommendation)</t>
        </is>
      </c>
      <c r="B26" s="3">
        <f>CableProtection!B28</f>
      </c>
      <c r="C26" t="inlineStr">
        <is>
          <t/>
        </is>
      </c>
      <c r="D26" t="inlineStr">
        <is>
          <t>Стартовый выбор защиты (Starter protection selection)</t>
        </is>
      </c>
    </row>
    <row r="27">
      <c r="A27" t="inlineStr">
        <is>
          <t>Система заземления (Earthing system)</t>
        </is>
      </c>
      <c r="B27" s="3">
        <f>CableProtection!B29</f>
      </c>
      <c r="C27" t="inlineStr">
        <is>
          <t/>
        </is>
      </c>
      <c r="D27" t="inlineStr">
        <is>
          <t>Выбранная система заземления AC (Selected AC earthing system)</t>
        </is>
      </c>
    </row>
    <row r="28">
      <c r="A28" t="inlineStr">
        <is>
          <t>Коэффициент снижения нагрузки кабеля (Cable derating factor)</t>
        </is>
      </c>
      <c r="B28" s="3">
        <f>CableProtection!B30</f>
      </c>
      <c r="C28" t="inlineStr">
        <is>
          <t>factor</t>
        </is>
      </c>
      <c r="D28" t="inlineStr">
        <is>
          <t>Группировка x температурные коэффициенты (Grouping x ambient factors)</t>
        </is>
      </c>
    </row>
    <row r="29">
      <c r="A29" t="inlineStr">
        <is>
          <t>Массовые сценарии (Bulk scenarios)</t>
        </is>
      </c>
      <c r="B29" s="3">
        <f>COUNTA(BulkCompatibility!A2:A100)</f>
      </c>
      <c r="C29" t="inlineStr">
        <is>
          <t>rows</t>
        </is>
      </c>
      <c r="D29" t="inlineStr">
        <is>
          <t>Mass compatibility table</t>
        </is>
      </c>
    </row>
    <row r="30">
      <c r="A30" t="inlineStr">
        <is>
          <t>Массовые PASS (Bulk PASS)</t>
        </is>
      </c>
      <c r="B30" s="3">
        <f>COUNTIF(BulkCompatibility!L2:L100,"PASS")</f>
      </c>
      <c r="C30" t="inlineStr">
        <is>
          <t>rows</t>
        </is>
      </c>
      <c r="D30" t="inlineStr">
        <is>
          <t>Bulk compatibility count</t>
        </is>
      </c>
    </row>
    <row r="31">
      <c r="A31" t="inlineStr">
        <is>
          <t>Массовые FAIL (Bulk FAIL)</t>
        </is>
      </c>
      <c r="B31" s="3">
        <f>COUNTIF(BulkCompatibility!L2:L100,"FAIL")</f>
      </c>
      <c r="C31" t="inlineStr">
        <is>
          <t>rows</t>
        </is>
      </c>
      <c r="D31" t="inlineStr">
        <is>
          <t>Bulk compatibility count</t>
        </is>
      </c>
    </row>
    <row r="32">
      <c r="A32" t="inlineStr">
        <is>
          <t>Массовые VERIFY (Bulk VERIFY)</t>
        </is>
      </c>
      <c r="B32" s="3">
        <f>COUNTIF(BulkCompatibility!L2:L100,"VERIFY")</f>
      </c>
      <c r="C32" t="inlineStr">
        <is>
          <t>rows</t>
        </is>
      </c>
      <c r="D32" t="inlineStr">
        <is>
          <t>Bulk compatibility count</t>
        </is>
      </c>
    </row>
    <row r="33">
      <c r="A33" t="inlineStr">
        <is>
          <t>Регион (Region)</t>
        </is>
      </c>
      <c r="B33" s="3">
        <f>Economics!B2</f>
      </c>
      <c r="C33" t="inlineStr">
        <is>
          <t/>
        </is>
      </c>
      <c r="D33" t="inlineStr">
        <is>
          <t>Economics input</t>
        </is>
      </c>
    </row>
    <row r="34">
      <c r="A34" t="inlineStr">
        <is>
          <t>Годовая выработка (Annual generation)</t>
        </is>
      </c>
      <c r="B34" s="3">
        <f>Economics!B8</f>
      </c>
      <c r="C34" t="inlineStr">
        <is>
          <t>kWh/year</t>
        </is>
      </c>
      <c r="D34" t="inlineStr">
        <is>
          <t>Оценка региональной выработки (Regional yield estimate)</t>
        </is>
      </c>
    </row>
    <row r="35">
      <c r="A35" t="inlineStr">
        <is>
          <t>Годовая экономия (Annual savings)</t>
        </is>
      </c>
      <c r="B35" s="3">
        <f>Economics!B12</f>
      </c>
      <c r="C35" t="inlineStr">
        <is>
          <t>RUB/year</t>
        </is>
      </c>
      <c r="D35" t="inlineStr">
        <is>
          <t>Собственное потребление плюс экспорт (Self-consumption plus export)</t>
        </is>
      </c>
    </row>
    <row r="36">
      <c r="A36" t="inlineStr">
        <is>
          <t>Простая окупаемость (Simple payback)</t>
        </is>
      </c>
      <c r="B36" s="3">
        <f>Economics!B13</f>
      </c>
      <c r="C36" t="inlineStr">
        <is>
          <t>years</t>
        </is>
      </c>
      <c r="D36" t="inlineStr">
        <is>
          <t>Стоимость системы / годовая экономия (Installed cost / annual savings)</t>
        </is>
      </c>
    </row>
    <row r="37">
      <c r="A37" t="inlineStr">
        <is>
          <t>Статус источника тарифа (Tariff source status)</t>
        </is>
      </c>
      <c r="B37" s="3">
        <f>Economics!B15</f>
      </c>
      <c r="C37" t="inlineStr">
        <is>
          <t/>
        </is>
      </c>
      <c r="D37" t="inlineStr">
        <is>
          <t>Нужно проверить (Must be verified)</t>
        </is>
      </c>
    </row>
    <row r="38">
      <c r="A38" t="inlineStr">
        <is>
          <t>Потребление в месяц (Monthly consumption)</t>
        </is>
      </c>
      <c r="B38" s="3">
        <f>Inputs!B29</f>
      </c>
      <c r="C38" t="inlineStr">
        <is>
          <t>kWh/month</t>
        </is>
      </c>
      <c r="D38" t="inlineStr">
        <is>
          <t>Ввод клиента (Customer input)</t>
        </is>
      </c>
    </row>
    <row r="39">
      <c r="A39" t="inlineStr">
        <is>
          <t>Целевое покрытие (Target coverage)</t>
        </is>
      </c>
      <c r="B39" s="3">
        <f>Inputs!B30</f>
      </c>
      <c r="C39" t="inlineStr">
        <is>
          <t>%</t>
        </is>
      </c>
      <c r="D39" t="inlineStr">
        <is>
          <t>Цель подбора варианта (Option sizing target)</t>
        </is>
      </c>
    </row>
    <row r="40">
      <c r="A40" t="inlineStr">
        <is>
          <t>Рекомендуемая стандартная мощность (Recommended standard size)</t>
        </is>
      </c>
      <c r="B40" s="3">
        <f>SystemOptions!H3</f>
      </c>
      <c r="C40" t="inlineStr">
        <is>
          <t>kWp</t>
        </is>
      </c>
      <c r="D40" t="inlineStr">
        <is>
          <t>Лист SystemOptions (SystemOptions)</t>
        </is>
      </c>
    </row>
    <row r="41">
      <c r="A41" t="inlineStr">
        <is>
          <t>Годовая выработка стандартного варианта (Standard option annual generation)</t>
        </is>
      </c>
      <c r="B41" s="3">
        <f>SystemOptions!K3</f>
      </c>
      <c r="C41" t="inlineStr">
        <is>
          <t>kWh/year</t>
        </is>
      </c>
      <c r="D41" t="inlineStr">
        <is>
          <t>Лист SystemOptions (SystemOptions)</t>
        </is>
      </c>
    </row>
    <row r="42">
      <c r="A42" t="inlineStr">
        <is>
          <t>Окупаемость стандартного варианта день-ночь (Standard option payback day-night)</t>
        </is>
      </c>
      <c r="B42" s="3">
        <f>SystemOptions!R3</f>
      </c>
      <c r="C42" t="inlineStr">
        <is>
          <t>years</t>
        </is>
      </c>
      <c r="D42" t="inlineStr">
        <is>
          <t>Лист SystemOptions (SystemOptions)</t>
        </is>
      </c>
    </row>
    <row r="43">
      <c r="A43" t="inlineStr">
        <is>
          <t>Выработка в лучший месяц (Best month generation)</t>
        </is>
      </c>
      <c r="B43" s="3">
        <f>MAX(MonthlyGeneration!B2:B13)</f>
      </c>
      <c r="C43" t="inlineStr">
        <is>
          <t>kWh/month</t>
        </is>
      </c>
      <c r="D43" t="inlineStr">
        <is>
          <t>MonthlyGeneration</t>
        </is>
      </c>
    </row>
    <row r="44">
      <c r="A44" t="inlineStr">
        <is>
          <t>Выработка в худший месяц (Worst month generation)</t>
        </is>
      </c>
      <c r="B44" s="3">
        <f>MIN(MonthlyGeneration!B2:B13)</f>
      </c>
      <c r="C44" t="inlineStr">
        <is>
          <t>kWh/month</t>
        </is>
      </c>
      <c r="D44" t="inlineStr">
        <is>
          <t>MonthlyGeneration</t>
        </is>
      </c>
    </row>
    <row r="45">
      <c r="A45" t="inlineStr">
        <is>
          <t>Ценность собственного потребления по месяцам (Monthly self-consumption value)</t>
        </is>
      </c>
      <c r="B45" s="3">
        <f>SUM(MonthlyGeneration!E2:E13)</f>
      </c>
      <c r="C45" t="inlineStr">
        <is>
          <t>RUB/year</t>
        </is>
      </c>
      <c r="D45" t="inlineStr">
        <is>
          <t>MonthlyGeneration</t>
        </is>
      </c>
    </row>
    <row r="46">
      <c r="A46" t="inlineStr">
        <is>
          <t>Ценность экспорта по месяцам (Monthly export value)</t>
        </is>
      </c>
      <c r="B46" s="3">
        <f>SUM(MonthlyGeneration!F2:F13)</f>
      </c>
      <c r="C46" t="inlineStr">
        <is>
          <t>RUB/year</t>
        </is>
      </c>
      <c r="D46" t="inlineStr">
        <is>
          <t>MonthlyGeneration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Калькулятор Line-Energy Solar (Line-Energy Solar Calculator)</t>
        </is>
      </c>
      <c r="B1" t="inlineStr" s="2">
        <is>
          <t>v0.23.0-draft</t>
        </is>
      </c>
    </row>
    <row r="2">
      <c r="A2" t="inlineStr" s="1">
        <is>
          <t>Ввод (Input)</t>
        </is>
      </c>
      <c r="B2" t="inlineStr" s="1">
        <is>
          <t>Значение (Value)</t>
        </is>
      </c>
      <c r="C2" t="inlineStr" s="1">
        <is>
          <t>Ед. изм. (Unit)</t>
        </is>
      </c>
      <c r="D2" t="inlineStr" s="1">
        <is>
          <t>Примечания (Notes)</t>
        </is>
      </c>
    </row>
    <row r="3">
      <c r="A3" t="inlineStr">
        <is>
          <t>Модель инвертора (Inverter model)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Выберите из списка (Choose from dropdown)</t>
        </is>
      </c>
    </row>
    <row r="4">
      <c r="A4" t="inlineStr">
        <is>
          <t>Модель панели (Panel model)</t>
        </is>
      </c>
      <c r="B4" t="inlineStr" s="4">
        <is>
          <t>JKM575N-72HL4-V</t>
        </is>
      </c>
      <c r="C4" t="inlineStr">
        <is>
          <t/>
        </is>
      </c>
      <c r="D4" t="inlineStr">
        <is>
          <t>Выберите из списка (Choose from dropdown)</t>
        </is>
      </c>
    </row>
    <row r="5">
      <c r="A5" t="inlineStr">
        <is>
          <t>Минимальная температура воздуха (Minimum ambient temperature)</t>
        </is>
      </c>
      <c r="B5" s="4">
        <v>-10</v>
      </c>
      <c r="C5" t="inlineStr">
        <is>
          <t>C</t>
        </is>
      </c>
      <c r="D5" t="inlineStr">
        <is>
          <t>Для проверки Voc на холоде (Used for cold Voc check)</t>
        </is>
      </c>
    </row>
    <row r="6">
      <c r="A6" t="inlineStr">
        <is>
          <t>Максимальная температура ячейки (Maximum cell temperature)</t>
        </is>
      </c>
      <c r="B6" s="4">
        <v>70</v>
      </c>
      <c r="C6" t="inlineStr">
        <is>
          <t>C</t>
        </is>
      </c>
      <c r="D6" t="inlineStr">
        <is>
          <t>Для проверки Vmp на нагреве (Used for hot Vmp check)</t>
        </is>
      </c>
    </row>
    <row r="7">
      <c r="A7" t="inlineStr">
        <is>
          <t>Панелей в строке (Panels per string)</t>
        </is>
      </c>
      <c r="B7" s="4">
        <v>8</v>
      </c>
      <c r="C7" t="inlineStr">
        <is>
          <t>pcs</t>
        </is>
      </c>
      <c r="D7" t="inlineStr">
        <is>
          <t>Модули последовательно в одной строке (Series modules in one string)</t>
        </is>
      </c>
    </row>
    <row r="8">
      <c r="A8" t="inlineStr">
        <is>
          <t>Строк на MPPT (Strings per MPPT)</t>
        </is>
      </c>
      <c r="B8" s="4">
        <v>1</v>
      </c>
      <c r="C8" t="inlineStr">
        <is>
          <t>pcs</t>
        </is>
      </c>
      <c r="D8" t="inlineStr">
        <is>
          <t>Параллельные строки на один трекер (Parallel strings on one tracker)</t>
        </is>
      </c>
    </row>
    <row r="9">
      <c r="A9" t="inlineStr">
        <is>
          <t>Модель АКБ (Battery model)</t>
        </is>
      </c>
      <c r="B9" t="inlineStr" s="4">
        <is>
          <t>US5000</t>
        </is>
      </c>
      <c r="C9" t="inlineStr">
        <is>
          <t/>
        </is>
      </c>
      <c r="D9" t="inlineStr">
        <is>
          <t>Выберите из списка (Choose from dropdown)</t>
        </is>
      </c>
    </row>
    <row r="10">
      <c r="A10" t="inlineStr">
        <is>
          <t>Количество АКБ (Battery quantity)</t>
        </is>
      </c>
      <c r="B10" s="4">
        <v>2</v>
      </c>
      <c r="C10" t="inlineStr">
        <is>
          <t>pcs</t>
        </is>
      </c>
      <c r="D10" t="inlineStr">
        <is>
          <t>Для расчета общей емкости АКБ (Used for total battery capacity)</t>
        </is>
      </c>
    </row>
    <row r="11">
      <c r="A11" t="inlineStr">
        <is>
          <t>Тип кровли (Roof type)</t>
        </is>
      </c>
      <c r="B11" t="inlineStr" s="4">
        <is>
          <t>Metal tile</t>
        </is>
      </c>
      <c r="C11" t="inlineStr">
        <is>
          <t/>
        </is>
      </c>
      <c r="D11" t="inlineStr">
        <is>
          <t>Выберите из списка (Choose from dropdown)</t>
        </is>
      </c>
    </row>
    <row r="12">
      <c r="A12" t="inlineStr">
        <is>
          <t>Всего панелей (Total panels)</t>
        </is>
      </c>
      <c r="B12" s="4">
        <v>16</v>
      </c>
      <c r="C12" t="inlineStr">
        <is>
          <t>pcs</t>
        </is>
      </c>
      <c r="D12" t="inlineStr">
        <is>
          <t>Для расчета количества крепежа (Used for mounting quantity calculation)</t>
        </is>
      </c>
    </row>
    <row r="13">
      <c r="A13" t="inlineStr">
        <is>
          <t>Панелей в ряду (Panels per row)</t>
        </is>
      </c>
      <c r="B13" s="4">
        <v>8</v>
      </c>
      <c r="C13" t="inlineStr">
        <is>
          <t>pcs</t>
        </is>
      </c>
      <c r="D13" t="inlineStr">
        <is>
          <t>Для расчета рядов и прижимов (Used for row and clamp calculation)</t>
        </is>
      </c>
    </row>
    <row r="14">
      <c r="A14" t="inlineStr">
        <is>
          <t>Длина рейки со склада (Rail stock length)</t>
        </is>
      </c>
      <c r="B14" s="4">
        <v>4.2</v>
      </c>
      <c r="C14" t="inlineStr">
        <is>
          <t>m</t>
        </is>
      </c>
      <c r="D14" t="inlineStr">
        <is>
          <t>Для оценки соединителей рейки (Used for rail connector estimate)</t>
        </is>
      </c>
    </row>
    <row r="15">
      <c r="A15" t="inlineStr">
        <is>
          <t>Длина рейки на панель (Rail length per panel)</t>
        </is>
      </c>
      <c r="B15" s="4">
        <v>1.15</v>
      </c>
      <c r="C15" t="inlineStr">
        <is>
          <t>m</t>
        </is>
      </c>
      <c r="D15" t="inlineStr">
        <is>
          <t>Стартовое допущение; уточнить по ориентации панели (Starter assumption; adjust by panel orientation)</t>
        </is>
      </c>
    </row>
    <row r="16">
      <c r="A16" t="inlineStr">
        <is>
          <t>Запас крепежа (Mounting reserve)</t>
        </is>
      </c>
      <c r="B16" s="4">
        <v>10</v>
      </c>
      <c r="C16" t="inlineStr">
        <is>
          <t>%</t>
        </is>
      </c>
      <c r="D16" t="inlineStr">
        <is>
          <t>Дополнительный запас количества (Extra quantity reserve)</t>
        </is>
      </c>
    </row>
    <row r="17">
      <c r="A17" t="inlineStr">
        <is>
          <t>Длина DC кабеля (DC cable route length)</t>
        </is>
      </c>
      <c r="B17" s="4">
        <v>30</v>
      </c>
      <c r="C17" t="inlineStr">
        <is>
          <t>m</t>
        </is>
      </c>
      <c r="D17" t="inlineStr">
        <is>
          <t>Оценка длины трассы в одну сторону (One-way route length estimate)</t>
        </is>
      </c>
    </row>
    <row r="18">
      <c r="A18" t="inlineStr">
        <is>
          <t>Длина AC кабеля (AC cable route length)</t>
        </is>
      </c>
      <c r="B18" s="4">
        <v>20</v>
      </c>
      <c r="C18" t="inlineStr">
        <is>
          <t>m</t>
        </is>
      </c>
      <c r="D18" t="inlineStr">
        <is>
          <t>Оценка длины трассы в одну сторону (One-way route length estimate)</t>
        </is>
      </c>
    </row>
    <row r="19">
      <c r="A19" t="inlineStr">
        <is>
          <t>Длина кабеля заземления (Grounding cable route length)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Способ прокладки (Installation method)</t>
        </is>
      </c>
      <c r="B20" t="inlineStr" s="4">
        <is>
          <t>Open air</t>
        </is>
      </c>
      <c r="C20" t="inlineStr">
        <is>
          <t/>
        </is>
      </c>
      <c r="D20" t="inlineStr">
        <is>
          <t>Для примечаний по снижению нагрузки кабеля (Used for cable derating notes)</t>
        </is>
      </c>
    </row>
    <row r="21">
      <c r="A21" t="inlineStr">
        <is>
          <t>Коэффициент группировки кабелей (Cable grouping derating)</t>
        </is>
      </c>
      <c r="B21" s="4">
        <v>1</v>
      </c>
      <c r="C21" t="inlineStr">
        <is>
          <t>factor</t>
        </is>
      </c>
      <c r="D21" t="inlineStr">
        <is>
          <t>Стартовый коэффициент; уточнить по местным нормам (Starter factor; adjust by local rules)</t>
        </is>
      </c>
    </row>
    <row r="22">
      <c r="A22" t="inlineStr">
        <is>
          <t>Коэффициент температуры окружающей среды (Ambient temperature derating)</t>
        </is>
      </c>
      <c r="B22" s="4">
        <v>1</v>
      </c>
      <c r="C22" t="inlineStr">
        <is>
          <t>factor</t>
        </is>
      </c>
      <c r="D22" t="inlineStr">
        <is>
          <t>Стартовый коэффициент; уточнить по местным нормам (Starter factor; adjust by local rules)</t>
        </is>
      </c>
    </row>
    <row r="23">
      <c r="A23" t="inlineStr">
        <is>
          <t>Система молниезащиты (Lightning protection system)</t>
        </is>
      </c>
      <c r="B23" t="inlineStr" s="4">
        <is>
          <t>No external LPS</t>
        </is>
      </c>
      <c r="C23" t="inlineStr">
        <is>
          <t/>
        </is>
      </c>
      <c r="D23" t="inlineStr">
        <is>
          <t>Для рекомендации типа УЗИП (Used for SPD type suggestion)</t>
        </is>
      </c>
    </row>
    <row r="24">
      <c r="A24" t="inlineStr">
        <is>
          <t>Система заземления AC (AC earthing system)</t>
        </is>
      </c>
      <c r="B24" t="inlineStr" s="4">
        <is>
          <t>TN-S</t>
        </is>
      </c>
      <c r="C24" t="inlineStr">
        <is>
          <t/>
        </is>
      </c>
      <c r="D24" t="inlineStr">
        <is>
          <t>Для чек-листа заземления (Used for earthing checklist)</t>
        </is>
      </c>
    </row>
    <row r="25">
      <c r="A25" t="inlineStr">
        <is>
          <t>Регион / тарифная зона (Region / tariff zone)</t>
        </is>
      </c>
      <c r="B25" t="inlineStr" s="4">
        <is>
          <t>Moscow starter</t>
        </is>
      </c>
      <c r="C25" t="inlineStr">
        <is>
          <t/>
        </is>
      </c>
      <c r="D25" t="inlineStr">
        <is>
          <t>Выберите из базы тарифов (Choose from tariff database)</t>
        </is>
      </c>
    </row>
    <row r="26">
      <c r="A26" t="inlineStr">
        <is>
          <t>Доля собственного потребления (Self-consumption share)</t>
        </is>
      </c>
      <c r="B26" s="4">
        <v>70</v>
      </c>
      <c r="C26" t="inlineStr">
        <is>
          <t>%</t>
        </is>
      </c>
      <c r="D26" t="inlineStr">
        <is>
          <t>Доля выработки, потребляемая на объекте (Share of generation consumed on site)</t>
        </is>
      </c>
    </row>
    <row r="27">
      <c r="A27" t="inlineStr">
        <is>
          <t>Стоимость установленной системы (Installed system cost)</t>
        </is>
      </c>
      <c r="B27" s="4">
        <v>800000</v>
      </c>
      <c r="C27" t="inlineStr">
        <is>
          <t>RUB</t>
        </is>
      </c>
      <c r="D27" t="inlineStr">
        <is>
          <t>Для оценки простой окупаемости (Used for simple payback estimate)</t>
        </is>
      </c>
    </row>
    <row r="28">
      <c r="A28" t="inlineStr">
        <is>
          <t>Статус источника тарифа (Tariff source status)</t>
        </is>
      </c>
      <c r="B28" t="inlineStr" s="4">
        <is>
          <t>VERIFY</t>
        </is>
      </c>
      <c r="C28" t="inlineStr">
        <is>
          <t/>
        </is>
      </c>
      <c r="D28" t="inlineStr">
        <is>
          <t>Тарифы нужно сверить по поставщику и дате (Tariffs must be checked for exact supplier/date)</t>
        </is>
      </c>
    </row>
    <row r="29">
      <c r="A29" t="inlineStr">
        <is>
          <t>Потребление в месяц (Monthly consumption)</t>
        </is>
      </c>
      <c r="B29" s="4">
        <v>1000</v>
      </c>
      <c r="C29" t="inlineStr">
        <is>
          <t>kWh/month</t>
        </is>
      </c>
      <c r="D29" t="inlineStr">
        <is>
          <t>Месячное потребление клиента (Customer monthly electricity consumption)</t>
        </is>
      </c>
    </row>
    <row r="30">
      <c r="A30" t="inlineStr">
        <is>
          <t>Целевое покрытие (Target coverage)</t>
        </is>
      </c>
      <c r="B30" s="4">
        <v>70</v>
      </c>
      <c r="C30" t="inlineStr">
        <is>
          <t>%</t>
        </is>
      </c>
      <c r="D30" t="inlineStr">
        <is>
          <t>Рекомендуемые варианты покрывают эту долю годового потребления (Recommended options cover this share of annual consumption)</t>
        </is>
      </c>
    </row>
    <row r="31">
      <c r="A31" t="inlineStr">
        <is>
          <t>Режим тарифа (Tariff mode)</t>
        </is>
      </c>
      <c r="B31" t="inlineStr" s="4">
        <is>
          <t>Single-rate</t>
        </is>
      </c>
      <c r="C31" t="inlineStr">
        <is>
          <t/>
        </is>
      </c>
      <c r="D31" t="inlineStr">
        <is>
          <t>Сравнение единого тарифа и день-ночь (Single-rate or Day-night comparison)</t>
        </is>
      </c>
    </row>
    <row r="32">
      <c r="A32" t="inlineStr">
        <is>
          <t>Доля дневного потребления (Day consumption share)</t>
        </is>
      </c>
      <c r="B32" s="4">
        <v>65</v>
      </c>
      <c r="C32" t="inlineStr">
        <is>
          <t>%</t>
        </is>
      </c>
      <c r="D32" t="inlineStr">
        <is>
          <t>Для сравнения тарифа день-ночь (Used for day-night tariff comparison)</t>
        </is>
      </c>
    </row>
    <row r="33">
      <c r="A33" t="inlineStr">
        <is>
          <t>Дневной тариф (Day tariff)</t>
        </is>
      </c>
      <c r="B33" s="4">
        <v>9.8</v>
      </c>
      <c r="C33" t="inlineStr">
        <is>
          <t>RUB/kWh</t>
        </is>
      </c>
      <c r="D33" t="inlineStr">
        <is>
          <t>Стартовый дневной тариф; сверить поставщика/дату (Starter day tariff; verify supplier/date)</t>
        </is>
      </c>
    </row>
    <row r="34">
      <c r="A34" t="inlineStr">
        <is>
          <t>Ночной тариф (Night tariff)</t>
        </is>
      </c>
      <c r="B34" s="4">
        <v>3.5</v>
      </c>
      <c r="C34" t="inlineStr">
        <is>
          <t>RUB/kWh</t>
        </is>
      </c>
      <c r="D34" t="inlineStr">
        <is>
          <t>Стартовый ночной тариф; сверить поставщика/дату (Starter night tariff; verify supplier/date)</t>
        </is>
      </c>
    </row>
    <row r="35">
      <c r="A35" t="inlineStr">
        <is>
          <t>Примечание по расчету (Design note)</t>
        </is>
      </c>
      <c r="B35" t="inlineStr">
        <is>
          <t>Только стартовый расчет (Starter calculation only)</t>
        </is>
      </c>
      <c r="C35" t="inlineStr">
        <is>
          <t/>
        </is>
      </c>
      <c r="D35" t="inlineStr">
        <is>
          <t>Проверить datasheet и инструкции по крепежу перед коммерческим применением (Verify datasheets and mounting manuals before commercial use)</t>
        </is>
      </c>
    </row>
  </sheetData>
  <dataValidations count="9">
    <dataValidation type="list" allowBlank="0" showInputMessage="1" sqref="B3" promptTitle="Инвертор (Inverter)" prompt="Выберите модель инвертора (Choose inverter model)">
      <formula1>InverterModels</formula1>
    </dataValidation>
    <dataValidation type="list" allowBlank="0" showInputMessage="1" sqref="B4" promptTitle="Панель (Panel)" prompt="Выберите модель панели (Choose panel model)">
      <formula1>PanelModels</formula1>
    </dataValidation>
    <dataValidation type="list" allowBlank="0" showInputMessage="1" sqref="B9" promptTitle="АКБ (Battery)" prompt="Выберите модель АКБ (Choose battery model)">
      <formula1>BatteryModels</formula1>
    </dataValidation>
    <dataValidation type="list" allowBlank="0" showInputMessage="1" sqref="B11" promptTitle="Тип кровли (Roof type)" prompt="Выберите тип кровли или наземную установку (Choose roof type or ground mount)">
      <formula1>RoofTypes</formula1>
    </dataValidation>
    <dataValidation type="list" allowBlank="0" showInputMessage="1" sqref="B20" promptTitle="Способ прокладки (Installation method)" prompt="Выберите способ прокладки кабеля (Choose cable installation method)">
      <formula1>InstallationMethods</formula1>
    </dataValidation>
    <dataValidation type="list" allowBlank="0" showInputMessage="1" sqref="B23" promptTitle="Lightning protection" prompt="Выберите условие молниезащиты (Choose lightning protection condition)">
      <formula1>LightningOptions</formula1>
    </dataValidation>
    <dataValidation type="list" allowBlank="0" showInputMessage="1" sqref="B24" promptTitle="Система заземления (Earthing system)" prompt="Выберите систему заземления AC (Choose AC earthing system)">
      <formula1>EarthingSystems</formula1>
    </dataValidation>
    <dataValidation type="list" allowBlank="0" showInputMessage="1" sqref="B25" promptTitle="Регион (Region)" prompt="Выберите тарифный регион (Choose tariff region)">
      <formula1>TariffRegions</formula1>
    </dataValidation>
    <dataValidation type="list" allowBlank="0" showInputMessage="1" sqref="B31" promptTitle="Режим тарифа (Tariff mode)" prompt="Выберите режим сравнения тарифа (Choose tariff comparison mode)">
      <formula1>TariffModes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Результат (Result)</t>
        </is>
      </c>
      <c r="B1" t="inlineStr" s="1">
        <is>
          <t>Значение (Value)</t>
        </is>
      </c>
      <c r="C1" t="inlineStr" s="1">
        <is>
          <t>Ед. изм. (Unit)</t>
        </is>
      </c>
      <c r="D1" t="inlineStr" s="1">
        <is>
          <t>Формула / смысл (Formula / meaning)</t>
        </is>
      </c>
    </row>
    <row r="2">
      <c r="A2" t="inlineStr">
        <is>
          <t>Модель инвертора (Inverter model)</t>
        </is>
      </c>
      <c r="B2" s="3">
        <f>Inputs!B3</f>
      </c>
      <c r="C2" t="inlineStr">
        <is>
          <t/>
        </is>
      </c>
      <c r="D2" t="inlineStr">
        <is>
          <t>Из листа Inputs (From Inputs)</t>
        </is>
      </c>
    </row>
    <row r="3">
      <c r="A3" t="inlineStr">
        <is>
          <t>Модель панели (Panel model)</t>
        </is>
      </c>
      <c r="B3" s="3">
        <f>Inputs!B4</f>
      </c>
      <c r="C3" t="inlineStr">
        <is>
          <t/>
        </is>
      </c>
      <c r="D3" t="inlineStr">
        <is>
          <t>Из листа Inputs (From Inputs)</t>
        </is>
      </c>
    </row>
    <row r="4">
      <c r="A4" t="inlineStr">
        <is>
          <t>Панелей в строке (Panels per string)</t>
        </is>
      </c>
      <c r="B4" s="3">
        <f>Inputs!B7</f>
      </c>
      <c r="C4" t="inlineStr">
        <is>
          <t>pcs</t>
        </is>
      </c>
      <c r="D4" t="inlineStr">
        <is>
          <t>Из листа Inputs (From Inputs)</t>
        </is>
      </c>
    </row>
    <row r="5">
      <c r="A5" t="inlineStr">
        <is>
          <t>Строк на MPPT (Strings per MPPT)</t>
        </is>
      </c>
      <c r="B5" s="3">
        <f>Inputs!B8</f>
      </c>
      <c r="C5" t="inlineStr">
        <is>
          <t>pcs</t>
        </is>
      </c>
      <c r="D5" t="inlineStr">
        <is>
          <t>Из листа Inputs (From Inputs)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Модель АКБ (Battery model)</t>
        </is>
      </c>
      <c r="B26" s="3">
        <f>Inputs!B9</f>
      </c>
      <c r="C26" t="inlineStr">
        <is>
          <t/>
        </is>
      </c>
      <c r="D26" t="inlineStr">
        <is>
          <t>Из листа Inputs (From Inputs)</t>
        </is>
      </c>
    </row>
    <row r="27">
      <c r="A27" t="inlineStr">
        <is>
          <t>Количество АКБ (Battery quantity)</t>
        </is>
      </c>
      <c r="B27" s="3">
        <f>Inputs!B10</f>
      </c>
      <c r="C27" t="inlineStr">
        <is>
          <t>pcs</t>
        </is>
      </c>
      <c r="D27" t="inlineStr">
        <is>
          <t>Из листа Inputs (From Inputs)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Из базы Batteries (From Batteries database)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Из базы Batteries (From Batteries database)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>
        <v>7200</v>
      </c>
      <c r="G12">
        <v>500</v>
      </c>
      <c r="H12">
        <v>125</v>
      </c>
      <c r="I12">
        <v>150</v>
      </c>
      <c r="J12">
        <v>425</v>
      </c>
      <c r="K12">
        <v>2</v>
      </c>
      <c r="L12" t="inlineStr">
        <is>
          <t>2+2</t>
        </is>
      </c>
      <c r="M12">
        <v>32</v>
      </c>
      <c r="N12">
        <v>48</v>
      </c>
      <c r="O12">
        <v>48</v>
      </c>
      <c r="P12" t="inlineStr">
        <is>
          <t>40-60</t>
        </is>
      </c>
      <c r="Q12" t="inlineStr">
        <is>
          <t>datasheet_local_pdf_verified</t>
        </is>
      </c>
      <c r="R12" t="inlineStr">
        <is>
          <t>Local PDF: SUN-_3.6-10_K-SG05LP1-EU-AM2-P_RU.pdf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>
        <v>10000</v>
      </c>
      <c r="G13">
        <v>500</v>
      </c>
      <c r="H13">
        <v>125</v>
      </c>
      <c r="I13">
        <v>150</v>
      </c>
      <c r="J13">
        <v>425</v>
      </c>
      <c r="K13">
        <v>2</v>
      </c>
      <c r="L13" t="inlineStr">
        <is>
          <t>2+2</t>
        </is>
      </c>
      <c r="M13">
        <v>32</v>
      </c>
      <c r="N13">
        <v>48</v>
      </c>
      <c r="O13">
        <v>48</v>
      </c>
      <c r="P13" t="inlineStr">
        <is>
          <t>40-60</t>
        </is>
      </c>
      <c r="Q13" t="inlineStr">
        <is>
          <t>datasheet_local_pdf_verified</t>
        </is>
      </c>
      <c r="R13" t="inlineStr">
        <is>
          <t>Local PDF: SUN-_3.6-10_K-SG05LP1-EU-AM2-P_RU.pdf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>
        <v>12000</v>
      </c>
      <c r="G14">
        <v>500</v>
      </c>
      <c r="H14">
        <v>125</v>
      </c>
      <c r="I14">
        <v>150</v>
      </c>
      <c r="J14">
        <v>425</v>
      </c>
      <c r="K14">
        <v>2</v>
      </c>
      <c r="L14" t="inlineStr">
        <is>
          <t>2+2</t>
        </is>
      </c>
      <c r="M14">
        <v>32</v>
      </c>
      <c r="N14">
        <v>48</v>
      </c>
      <c r="O14">
        <v>48</v>
      </c>
      <c r="P14" t="inlineStr">
        <is>
          <t>40-60</t>
        </is>
      </c>
      <c r="Q14" t="inlineStr">
        <is>
          <t>datasheet_local_pdf_verified</t>
        </is>
      </c>
      <c r="R14" t="inlineStr">
        <is>
          <t>Local PDF: SUN-_3.6-10_K-SG05LP1-EU-AM2-P_RU.pdf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>
        <v>16000</v>
      </c>
      <c r="G15">
        <v>500</v>
      </c>
      <c r="H15">
        <v>125</v>
      </c>
      <c r="I15">
        <v>150</v>
      </c>
      <c r="J15">
        <v>425</v>
      </c>
      <c r="K15">
        <v>2</v>
      </c>
      <c r="L15" t="inlineStr">
        <is>
          <t>2+2</t>
        </is>
      </c>
      <c r="M15">
        <v>32</v>
      </c>
      <c r="N15">
        <v>48</v>
      </c>
      <c r="O15">
        <v>48</v>
      </c>
      <c r="P15" t="inlineStr">
        <is>
          <t>40-60</t>
        </is>
      </c>
      <c r="Q15" t="inlineStr">
        <is>
          <t>datasheet_local_pdf_verified</t>
        </is>
      </c>
      <c r="R15" t="inlineStr">
        <is>
          <t>Local PDF: SUN-_3.6-10_K-SG05LP1-EU-AM2-P_RU.pdf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>
        <v>20000</v>
      </c>
      <c r="G16">
        <v>500</v>
      </c>
      <c r="H16">
        <v>125</v>
      </c>
      <c r="I16">
        <v>150</v>
      </c>
      <c r="J16">
        <v>425</v>
      </c>
      <c r="K16">
        <v>3</v>
      </c>
      <c r="L16" t="inlineStr">
        <is>
          <t>2+2+2</t>
        </is>
      </c>
      <c r="M16">
        <v>32</v>
      </c>
      <c r="N16">
        <v>60</v>
      </c>
      <c r="O16">
        <v>48</v>
      </c>
      <c r="P16" t="inlineStr">
        <is>
          <t>40-60</t>
        </is>
      </c>
      <c r="Q16" t="inlineStr">
        <is>
          <t>datasheet_local_pdf_verified</t>
        </is>
      </c>
      <c r="R16" t="inlineStr">
        <is>
          <t>Local PDF: SUN-_7.6-12_K-SG02LP1-EU-AM2-P_RU.pdf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>
        <v>24000</v>
      </c>
      <c r="G17">
        <v>500</v>
      </c>
      <c r="H17">
        <v>125</v>
      </c>
      <c r="I17">
        <v>150</v>
      </c>
      <c r="J17">
        <v>425</v>
      </c>
      <c r="K17">
        <v>3</v>
      </c>
      <c r="L17" t="inlineStr">
        <is>
          <t>2+2+2</t>
        </is>
      </c>
      <c r="M17">
        <v>32</v>
      </c>
      <c r="N17">
        <v>60</v>
      </c>
      <c r="O17">
        <v>48</v>
      </c>
      <c r="P17" t="inlineStr">
        <is>
          <t>40-60</t>
        </is>
      </c>
      <c r="Q17" t="inlineStr">
        <is>
          <t>datasheet_local_pdf_verified</t>
        </is>
      </c>
      <c r="R17" t="inlineStr">
        <is>
          <t>Local PDF: SUN-_7.6-12_K-SG02LP1-EU-AM2-P_RU.pdf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>
        <v>28000</v>
      </c>
      <c r="G18">
        <v>500</v>
      </c>
      <c r="H18">
        <v>125</v>
      </c>
      <c r="I18">
        <v>150</v>
      </c>
      <c r="J18">
        <v>425</v>
      </c>
      <c r="K18">
        <v>3</v>
      </c>
      <c r="L18" t="inlineStr">
        <is>
          <t>2+2+2</t>
        </is>
      </c>
      <c r="M18">
        <v>36</v>
      </c>
      <c r="N18">
        <v>54</v>
      </c>
      <c r="O18">
        <v>48</v>
      </c>
      <c r="P18" t="inlineStr">
        <is>
          <t>40-60</t>
        </is>
      </c>
      <c r="Q18" t="inlineStr">
        <is>
          <t>datasheet_local_pdf_verified</t>
        </is>
      </c>
      <c r="R18" t="inlineStr">
        <is>
          <t>Local PDF: SUN-_12-18_K-SG01LP1-EU-AM3-P_RU.pdf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>
        <v>32000</v>
      </c>
      <c r="G19">
        <v>500</v>
      </c>
      <c r="H19">
        <v>125</v>
      </c>
      <c r="I19">
        <v>150</v>
      </c>
      <c r="J19">
        <v>425</v>
      </c>
      <c r="K19">
        <v>3</v>
      </c>
      <c r="L19" t="inlineStr">
        <is>
          <t>2+2+2</t>
        </is>
      </c>
      <c r="M19">
        <v>36</v>
      </c>
      <c r="N19">
        <v>54</v>
      </c>
      <c r="O19">
        <v>48</v>
      </c>
      <c r="P19" t="inlineStr">
        <is>
          <t>40-60</t>
        </is>
      </c>
      <c r="Q19" t="inlineStr">
        <is>
          <t>datasheet_local_pdf_verified</t>
        </is>
      </c>
      <c r="R19" t="inlineStr">
        <is>
          <t>Local PDF: SUN-_12-18_K-SG01LP1-EU-AM3-P_RU.pdf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>
        <v>36000</v>
      </c>
      <c r="G20">
        <v>500</v>
      </c>
      <c r="H20">
        <v>125</v>
      </c>
      <c r="I20">
        <v>150</v>
      </c>
      <c r="J20">
        <v>425</v>
      </c>
      <c r="K20">
        <v>3</v>
      </c>
      <c r="L20" t="inlineStr">
        <is>
          <t>2+2+2</t>
        </is>
      </c>
      <c r="M20">
        <v>36</v>
      </c>
      <c r="N20">
        <v>54</v>
      </c>
      <c r="O20">
        <v>48</v>
      </c>
      <c r="P20" t="inlineStr">
        <is>
          <t>40-60</t>
        </is>
      </c>
      <c r="Q20" t="inlineStr">
        <is>
          <t>datasheet_local_pdf_verified</t>
        </is>
      </c>
      <c r="R20" t="inlineStr">
        <is>
          <t>Local PDF: SUN-_12-18_K-SG01LP1-EU-AM3-P_RU.pdf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>
        <v>10000</v>
      </c>
      <c r="G21">
        <v>800</v>
      </c>
      <c r="H21">
        <v>160</v>
      </c>
      <c r="I21">
        <v>200</v>
      </c>
      <c r="J21">
        <v>650</v>
      </c>
      <c r="K21">
        <v>2</v>
      </c>
      <c r="L21" t="inlineStr">
        <is>
          <t>1+1</t>
        </is>
      </c>
      <c r="M21">
        <v>20</v>
      </c>
      <c r="N21">
        <v>30</v>
      </c>
      <c r="O21">
        <v>48</v>
      </c>
      <c r="P21" t="inlineStr">
        <is>
          <t>40-60</t>
        </is>
      </c>
      <c r="Q21" t="inlineStr">
        <is>
          <t>datasheet_local_pdf_verified</t>
        </is>
      </c>
      <c r="R21" t="inlineStr">
        <is>
          <t>Local PDF: SUN-_3-12_K-SG05LP3-EU-SM2_RU.pdf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>
        <v>12000</v>
      </c>
      <c r="G22">
        <v>800</v>
      </c>
      <c r="H22">
        <v>160</v>
      </c>
      <c r="I22">
        <v>200</v>
      </c>
      <c r="J22">
        <v>650</v>
      </c>
      <c r="K22">
        <v>2</v>
      </c>
      <c r="L22" t="inlineStr">
        <is>
          <t>1+1</t>
        </is>
      </c>
      <c r="M22">
        <v>20</v>
      </c>
      <c r="N22">
        <v>30</v>
      </c>
      <c r="O22">
        <v>48</v>
      </c>
      <c r="P22" t="inlineStr">
        <is>
          <t>40-60</t>
        </is>
      </c>
      <c r="Q22" t="inlineStr">
        <is>
          <t>datasheet_local_pdf_verified</t>
        </is>
      </c>
      <c r="R22" t="inlineStr">
        <is>
          <t>Local PDF: SUN-_3-12_K-SG05LP3-EU-SM2_RU.pdf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>
        <v>16000</v>
      </c>
      <c r="G23">
        <v>800</v>
      </c>
      <c r="H23">
        <v>160</v>
      </c>
      <c r="I23">
        <v>200</v>
      </c>
      <c r="J23">
        <v>650</v>
      </c>
      <c r="K23">
        <v>2</v>
      </c>
      <c r="L23" t="inlineStr">
        <is>
          <t>2+2</t>
        </is>
      </c>
      <c r="M23">
        <v>26</v>
      </c>
      <c r="N23">
        <v>39</v>
      </c>
      <c r="O23">
        <v>48</v>
      </c>
      <c r="P23" t="inlineStr">
        <is>
          <t>40-60</t>
        </is>
      </c>
      <c r="Q23" t="inlineStr">
        <is>
          <t>datasheet_local_pdf_verified</t>
        </is>
      </c>
      <c r="R23" t="inlineStr">
        <is>
          <t>Local PDF: SUN-_3-12_K-SG05LP3-EU-SM2_RU.pdf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>
        <v>20000</v>
      </c>
      <c r="G24">
        <v>800</v>
      </c>
      <c r="H24">
        <v>160</v>
      </c>
      <c r="I24">
        <v>200</v>
      </c>
      <c r="J24">
        <v>650</v>
      </c>
      <c r="K24">
        <v>2</v>
      </c>
      <c r="L24" t="inlineStr">
        <is>
          <t>2+2</t>
        </is>
      </c>
      <c r="M24">
        <v>26</v>
      </c>
      <c r="N24">
        <v>39</v>
      </c>
      <c r="O24">
        <v>48</v>
      </c>
      <c r="P24" t="inlineStr">
        <is>
          <t>40-60</t>
        </is>
      </c>
      <c r="Q24" t="inlineStr">
        <is>
          <t>datasheet_local_pdf_verified</t>
        </is>
      </c>
      <c r="R24" t="inlineStr">
        <is>
          <t>Local PDF: SUN-_3-12_K-SG05LP3-EU-SM2_RU.pdf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>
        <v>24000</v>
      </c>
      <c r="G25">
        <v>800</v>
      </c>
      <c r="H25">
        <v>160</v>
      </c>
      <c r="I25">
        <v>200</v>
      </c>
      <c r="J25">
        <v>650</v>
      </c>
      <c r="K25">
        <v>2</v>
      </c>
      <c r="L25" t="inlineStr">
        <is>
          <t>2+2</t>
        </is>
      </c>
      <c r="M25">
        <v>26</v>
      </c>
      <c r="N25">
        <v>39</v>
      </c>
      <c r="O25">
        <v>48</v>
      </c>
      <c r="P25" t="inlineStr">
        <is>
          <t>40-60</t>
        </is>
      </c>
      <c r="Q25" t="inlineStr">
        <is>
          <t>datasheet_local_pdf_verified</t>
        </is>
      </c>
      <c r="R25" t="inlineStr">
        <is>
          <t>Local PDF: SUN-_3-12_K-SG05LP3-EU-SM2_RU.pdf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>
        <v>28000</v>
      </c>
      <c r="G26">
        <v>800</v>
      </c>
      <c r="H26">
        <v>160</v>
      </c>
      <c r="I26">
        <v>160</v>
      </c>
      <c r="J26">
        <v>650</v>
      </c>
      <c r="K26">
        <v>2</v>
      </c>
      <c r="L26" t="inlineStr">
        <is>
          <t>2+2</t>
        </is>
      </c>
      <c r="M26">
        <v>36</v>
      </c>
      <c r="N26">
        <v>54</v>
      </c>
      <c r="O26">
        <v>48</v>
      </c>
      <c r="P26" t="inlineStr">
        <is>
          <t>40-60</t>
        </is>
      </c>
      <c r="Q26" t="inlineStr">
        <is>
          <t>datasheet_local_pdf_verified</t>
        </is>
      </c>
      <c r="R26" t="inlineStr">
        <is>
          <t>Local PDF: SUN-_14-20_K-SG05LP3-EU-SM2_RU.pdf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>
        <v>30000</v>
      </c>
      <c r="G27">
        <v>800</v>
      </c>
      <c r="H27">
        <v>160</v>
      </c>
      <c r="I27">
        <v>160</v>
      </c>
      <c r="J27">
        <v>650</v>
      </c>
      <c r="K27">
        <v>2</v>
      </c>
      <c r="L27" t="inlineStr">
        <is>
          <t>2+2</t>
        </is>
      </c>
      <c r="M27">
        <v>36</v>
      </c>
      <c r="N27">
        <v>54</v>
      </c>
      <c r="O27">
        <v>48</v>
      </c>
      <c r="P27" t="inlineStr">
        <is>
          <t>40-60</t>
        </is>
      </c>
      <c r="Q27" t="inlineStr">
        <is>
          <t>datasheet_local_pdf_verified</t>
        </is>
      </c>
      <c r="R27" t="inlineStr">
        <is>
          <t>Local PDF: SUN-_14-20_K-SG05LP3-EU-SM2_RU.pdf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>
        <v>32000</v>
      </c>
      <c r="G28">
        <v>800</v>
      </c>
      <c r="H28">
        <v>160</v>
      </c>
      <c r="I28">
        <v>160</v>
      </c>
      <c r="J28">
        <v>650</v>
      </c>
      <c r="K28">
        <v>2</v>
      </c>
      <c r="L28" t="inlineStr">
        <is>
          <t>2+2</t>
        </is>
      </c>
      <c r="M28">
        <v>36</v>
      </c>
      <c r="N28">
        <v>54</v>
      </c>
      <c r="O28">
        <v>48</v>
      </c>
      <c r="P28" t="inlineStr">
        <is>
          <t>40-60</t>
        </is>
      </c>
      <c r="Q28" t="inlineStr">
        <is>
          <t>datasheet_local_pdf_verified</t>
        </is>
      </c>
      <c r="R28" t="inlineStr">
        <is>
          <t>Local PDF: SUN-_14-20_K-SG05LP3-EU-SM2_RU.pdf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>
        <v>36000</v>
      </c>
      <c r="G29">
        <v>800</v>
      </c>
      <c r="H29">
        <v>160</v>
      </c>
      <c r="I29">
        <v>160</v>
      </c>
      <c r="J29">
        <v>650</v>
      </c>
      <c r="K29">
        <v>2</v>
      </c>
      <c r="L29" t="inlineStr">
        <is>
          <t>2+2</t>
        </is>
      </c>
      <c r="M29">
        <v>36</v>
      </c>
      <c r="N29">
        <v>54</v>
      </c>
      <c r="O29">
        <v>48</v>
      </c>
      <c r="P29" t="inlineStr">
        <is>
          <t>40-60</t>
        </is>
      </c>
      <c r="Q29" t="inlineStr">
        <is>
          <t>datasheet_local_pdf_verified</t>
        </is>
      </c>
      <c r="R29" t="inlineStr">
        <is>
          <t>Local PDF: SUN-_14-20_K-SG05LP3-EU-SM2_RU.pdf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>
        <v>40000</v>
      </c>
      <c r="G30">
        <v>800</v>
      </c>
      <c r="H30">
        <v>160</v>
      </c>
      <c r="I30">
        <v>160</v>
      </c>
      <c r="J30">
        <v>650</v>
      </c>
      <c r="K30">
        <v>2</v>
      </c>
      <c r="L30" t="inlineStr">
        <is>
          <t>2+2</t>
        </is>
      </c>
      <c r="M30">
        <v>36</v>
      </c>
      <c r="N30">
        <v>54</v>
      </c>
      <c r="O30">
        <v>48</v>
      </c>
      <c r="P30" t="inlineStr">
        <is>
          <t>40-60</t>
        </is>
      </c>
      <c r="Q30" t="inlineStr">
        <is>
          <t>datasheet_local_pdf_verified</t>
        </is>
      </c>
      <c r="R30" t="inlineStr">
        <is>
          <t>Local PDF: SUN-_14-20_K-SG05LP3-EU-SM2_RU.pdf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>
        <v>20000</v>
      </c>
      <c r="G31">
        <v>1000</v>
      </c>
      <c r="H31">
        <v>180</v>
      </c>
      <c r="I31">
        <v>150</v>
      </c>
      <c r="J31">
        <v>850</v>
      </c>
      <c r="K31">
        <v>2</v>
      </c>
      <c r="L31" t="inlineStr">
        <is>
          <t>1+1</t>
        </is>
      </c>
      <c r="M31">
        <v>20</v>
      </c>
      <c r="N31">
        <v>30</v>
      </c>
      <c r="O31" t="inlineStr">
        <is>
          <t/>
        </is>
      </c>
      <c r="P31" t="inlineStr">
        <is>
          <t>160-700</t>
        </is>
      </c>
      <c r="Q31" t="inlineStr">
        <is>
          <t>datasheet_local_pdf_verified</t>
        </is>
      </c>
      <c r="R31" t="inlineStr">
        <is>
          <t>Local PDF: SUN-_5-25_K-SG01HP3-EU-AM2_RU.pdf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>
        <v>24000</v>
      </c>
      <c r="G32">
        <v>1000</v>
      </c>
      <c r="H32">
        <v>180</v>
      </c>
      <c r="I32">
        <v>150</v>
      </c>
      <c r="J32">
        <v>850</v>
      </c>
      <c r="K32">
        <v>2</v>
      </c>
      <c r="L32" t="inlineStr">
        <is>
          <t>1+1</t>
        </is>
      </c>
      <c r="M32">
        <v>20</v>
      </c>
      <c r="N32">
        <v>30</v>
      </c>
      <c r="O32" t="inlineStr">
        <is>
          <t/>
        </is>
      </c>
      <c r="P32" t="inlineStr">
        <is>
          <t>160-700</t>
        </is>
      </c>
      <c r="Q32" t="inlineStr">
        <is>
          <t>datasheet_local_pdf_verified</t>
        </is>
      </c>
      <c r="R32" t="inlineStr">
        <is>
          <t>Local PDF: SUN-_5-25_K-SG01HP3-EU-AM2_RU.pdf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>
        <v>30000</v>
      </c>
      <c r="G33">
        <v>1000</v>
      </c>
      <c r="H33">
        <v>180</v>
      </c>
      <c r="I33">
        <v>150</v>
      </c>
      <c r="J33">
        <v>850</v>
      </c>
      <c r="K33">
        <v>2</v>
      </c>
      <c r="L33" t="inlineStr">
        <is>
          <t>2+2</t>
        </is>
      </c>
      <c r="M33">
        <v>26</v>
      </c>
      <c r="N33">
        <v>39</v>
      </c>
      <c r="O33" t="inlineStr">
        <is>
          <t/>
        </is>
      </c>
      <c r="P33" t="inlineStr">
        <is>
          <t>160-700</t>
        </is>
      </c>
      <c r="Q33" t="inlineStr">
        <is>
          <t>datasheet_local_pdf_verified</t>
        </is>
      </c>
      <c r="R33" t="inlineStr">
        <is>
          <t>Local PDF: SUN-_5-25_K-SG01HP3-EU-AM2_RU.pdf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>
        <v>40000</v>
      </c>
      <c r="G34">
        <v>1000</v>
      </c>
      <c r="H34">
        <v>180</v>
      </c>
      <c r="I34">
        <v>150</v>
      </c>
      <c r="J34">
        <v>850</v>
      </c>
      <c r="K34">
        <v>2</v>
      </c>
      <c r="L34" t="inlineStr">
        <is>
          <t>2+2</t>
        </is>
      </c>
      <c r="M34">
        <v>26</v>
      </c>
      <c r="N34">
        <v>39</v>
      </c>
      <c r="O34" t="inlineStr">
        <is>
          <t/>
        </is>
      </c>
      <c r="P34" t="inlineStr">
        <is>
          <t>160-700</t>
        </is>
      </c>
      <c r="Q34" t="inlineStr">
        <is>
          <t>datasheet_local_pdf_verified</t>
        </is>
      </c>
      <c r="R34" t="inlineStr">
        <is>
          <t>Local PDF: SUN-_5-25_K-SG01HP3-EU-AM2_RU.pdf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>
        <v>50000</v>
      </c>
      <c r="G35">
        <v>1000</v>
      </c>
      <c r="H35">
        <v>180</v>
      </c>
      <c r="I35">
        <v>150</v>
      </c>
      <c r="J35">
        <v>850</v>
      </c>
      <c r="K35">
        <v>2</v>
      </c>
      <c r="L35" t="inlineStr">
        <is>
          <t>2+1</t>
        </is>
      </c>
      <c r="M35">
        <v>26</v>
      </c>
      <c r="N35">
        <v>39</v>
      </c>
      <c r="O35" t="inlineStr">
        <is>
          <t/>
        </is>
      </c>
      <c r="P35" t="inlineStr">
        <is>
          <t>160-700</t>
        </is>
      </c>
      <c r="Q35" t="inlineStr">
        <is>
          <t>datasheet_local_pdf_verified</t>
        </is>
      </c>
      <c r="R35" t="inlineStr">
        <is>
          <t>Local PDF: SUN-_5-25_K-SG01HP3-EU-AM2_RU.pdf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>
        <v>60000</v>
      </c>
      <c r="G36">
        <v>1000</v>
      </c>
      <c r="H36">
        <v>180</v>
      </c>
      <c r="I36">
        <v>150</v>
      </c>
      <c r="J36">
        <v>850</v>
      </c>
      <c r="K36">
        <v>3</v>
      </c>
      <c r="L36" t="inlineStr">
        <is>
          <t>2+2+2</t>
        </is>
      </c>
      <c r="M36">
        <v>36</v>
      </c>
      <c r="N36">
        <v>54</v>
      </c>
      <c r="O36" t="inlineStr">
        <is>
          <t/>
        </is>
      </c>
      <c r="P36" t="inlineStr">
        <is>
          <t>160-700</t>
        </is>
      </c>
      <c r="Q36" t="inlineStr">
        <is>
          <t>datasheet_local_pdf_verified</t>
        </is>
      </c>
      <c r="R36" t="inlineStr">
        <is>
          <t>Local PDF: SUN-_25-30_K-SG02HP3-EU-AM3_RU.pdf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>
        <v>80000</v>
      </c>
      <c r="G37">
        <v>1000</v>
      </c>
      <c r="H37">
        <v>180</v>
      </c>
      <c r="I37">
        <v>150</v>
      </c>
      <c r="J37">
        <v>850</v>
      </c>
      <c r="K37">
        <v>3</v>
      </c>
      <c r="L37" t="inlineStr">
        <is>
          <t>2+2+2</t>
        </is>
      </c>
      <c r="M37">
        <v>36</v>
      </c>
      <c r="N37">
        <v>55</v>
      </c>
      <c r="O37" t="inlineStr">
        <is>
          <t/>
        </is>
      </c>
      <c r="P37" t="inlineStr">
        <is>
          <t>160-800</t>
        </is>
      </c>
      <c r="Q37" t="inlineStr">
        <is>
          <t>datasheet_local_pdf_verified</t>
        </is>
      </c>
      <c r="R37" t="inlineStr">
        <is>
          <t>Local PDF: SUN-_29.9-50_K-SG01HP3-EU-BM4_RU.pdf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>
        <v>100000</v>
      </c>
      <c r="G38">
        <v>1000</v>
      </c>
      <c r="H38">
        <v>180</v>
      </c>
      <c r="I38">
        <v>150</v>
      </c>
      <c r="J38">
        <v>850</v>
      </c>
      <c r="K38">
        <v>4</v>
      </c>
      <c r="L38" t="inlineStr">
        <is>
          <t>2+2+2+2</t>
        </is>
      </c>
      <c r="M38">
        <v>36</v>
      </c>
      <c r="N38">
        <v>55</v>
      </c>
      <c r="O38" t="inlineStr">
        <is>
          <t/>
        </is>
      </c>
      <c r="P38" t="inlineStr">
        <is>
          <t>160-800</t>
        </is>
      </c>
      <c r="Q38" t="inlineStr">
        <is>
          <t>datasheet_local_pdf_verified</t>
        </is>
      </c>
      <c r="R38" t="inlineStr">
        <is>
          <t>Local PDF: SUN-_29.9-50_K-SG01HP3-EU-BM4_RU.pdf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>
        <v>120000</v>
      </c>
      <c r="G39">
        <v>1000</v>
      </c>
      <c r="H39">
        <v>180</v>
      </c>
      <c r="I39">
        <v>150</v>
      </c>
      <c r="J39">
        <v>850</v>
      </c>
      <c r="K39">
        <v>6</v>
      </c>
      <c r="L39" t="inlineStr">
        <is>
          <t>2+2+2+2+2+2</t>
        </is>
      </c>
      <c r="M39">
        <v>36</v>
      </c>
      <c r="N39">
        <v>54</v>
      </c>
      <c r="O39" t="inlineStr">
        <is>
          <t/>
        </is>
      </c>
      <c r="P39" t="inlineStr">
        <is>
          <t>160-1000</t>
        </is>
      </c>
      <c r="Q39" t="inlineStr">
        <is>
          <t>datasheet_local_pdf_verified</t>
        </is>
      </c>
      <c r="R39" t="inlineStr">
        <is>
          <t>Local PDF: SUN-_60-80_K-SG02HP3-EU-EM6_RU.pdf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>
        <v>140000</v>
      </c>
      <c r="G40">
        <v>1000</v>
      </c>
      <c r="H40">
        <v>180</v>
      </c>
      <c r="I40">
        <v>150</v>
      </c>
      <c r="J40">
        <v>850</v>
      </c>
      <c r="K40">
        <v>6</v>
      </c>
      <c r="L40" t="inlineStr">
        <is>
          <t>2+2+2+2+2+2</t>
        </is>
      </c>
      <c r="M40">
        <v>36</v>
      </c>
      <c r="N40">
        <v>54</v>
      </c>
      <c r="O40" t="inlineStr">
        <is>
          <t/>
        </is>
      </c>
      <c r="P40" t="inlineStr">
        <is>
          <t>160-1000</t>
        </is>
      </c>
      <c r="Q40" t="inlineStr">
        <is>
          <t>datasheet_local_pdf_verified</t>
        </is>
      </c>
      <c r="R40" t="inlineStr">
        <is>
          <t>Local PDF: SUN-_60-80_K-SG02HP3-EU-EM6_RU.pdf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>
        <v>150000</v>
      </c>
      <c r="G41">
        <v>1000</v>
      </c>
      <c r="H41">
        <v>180</v>
      </c>
      <c r="I41">
        <v>150</v>
      </c>
      <c r="J41">
        <v>850</v>
      </c>
      <c r="K41">
        <v>6</v>
      </c>
      <c r="L41" t="inlineStr">
        <is>
          <t>2+2+2+2+2+2</t>
        </is>
      </c>
      <c r="M41">
        <v>36</v>
      </c>
      <c r="N41">
        <v>54</v>
      </c>
      <c r="O41" t="inlineStr">
        <is>
          <t/>
        </is>
      </c>
      <c r="P41" t="inlineStr">
        <is>
          <t>160-1000</t>
        </is>
      </c>
      <c r="Q41" t="inlineStr">
        <is>
          <t>datasheet_local_pdf_verified</t>
        </is>
      </c>
      <c r="R41" t="inlineStr">
        <is>
          <t>Local PDF: SUN-_60-80_K-SG02HP3-EU-EM6_RU.pdf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>
        <v>160000</v>
      </c>
      <c r="G42">
        <v>1000</v>
      </c>
      <c r="H42">
        <v>180</v>
      </c>
      <c r="I42">
        <v>150</v>
      </c>
      <c r="J42">
        <v>850</v>
      </c>
      <c r="K42">
        <v>6</v>
      </c>
      <c r="L42" t="inlineStr">
        <is>
          <t>2+2+2+2+2+2</t>
        </is>
      </c>
      <c r="M42">
        <v>36</v>
      </c>
      <c r="N42">
        <v>54</v>
      </c>
      <c r="O42" t="inlineStr">
        <is>
          <t/>
        </is>
      </c>
      <c r="P42" t="inlineStr">
        <is>
          <t>160-1000</t>
        </is>
      </c>
      <c r="Q42" t="inlineStr">
        <is>
          <t>datasheet_local_pdf_verified</t>
        </is>
      </c>
      <c r="R42" t="inlineStr">
        <is>
          <t>Local PDF: SUN-_60-80_K-SG02HP3-EU-EM6_RU.pdf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>
        <v>200000</v>
      </c>
      <c r="G43">
        <v>1000</v>
      </c>
      <c r="H43">
        <v>180</v>
      </c>
      <c r="I43">
        <v>150</v>
      </c>
      <c r="J43">
        <v>850</v>
      </c>
      <c r="K43">
        <v>10</v>
      </c>
      <c r="L43" t="inlineStr">
        <is>
          <t>2+2+2+2+2+2+2+2+2+2</t>
        </is>
      </c>
      <c r="M43">
        <v>42</v>
      </c>
      <c r="N43">
        <v>63</v>
      </c>
      <c r="O43" t="inlineStr">
        <is>
          <t/>
        </is>
      </c>
      <c r="P43" t="inlineStr">
        <is>
          <t>160-1000</t>
        </is>
      </c>
      <c r="Q43" t="inlineStr">
        <is>
          <t>datasheet_local_pdf_verified</t>
        </is>
      </c>
      <c r="R43" t="inlineStr">
        <is>
          <t>Local PDF: SUN-_100-125_K-SG02HP3-EU-GM10_RU.pdf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>
        <v>250000</v>
      </c>
      <c r="G44">
        <v>1000</v>
      </c>
      <c r="H44">
        <v>180</v>
      </c>
      <c r="I44">
        <v>150</v>
      </c>
      <c r="J44">
        <v>850</v>
      </c>
      <c r="K44">
        <v>10</v>
      </c>
      <c r="L44" t="inlineStr">
        <is>
          <t>2+2+2+2+2+2+2+2+2+2</t>
        </is>
      </c>
      <c r="M44">
        <v>42</v>
      </c>
      <c r="N44">
        <v>63</v>
      </c>
      <c r="O44" t="inlineStr">
        <is>
          <t/>
        </is>
      </c>
      <c r="P44" t="inlineStr">
        <is>
          <t>160-1000</t>
        </is>
      </c>
      <c r="Q44" t="inlineStr">
        <is>
          <t>datasheet_local_pdf_verified</t>
        </is>
      </c>
      <c r="R44" t="inlineStr">
        <is>
          <t>Local PDF: SUN-_100-125_K-SG02HP3-EU-GM10_RU.pdf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>
        <v>6000</v>
      </c>
      <c r="G51">
        <v>550</v>
      </c>
      <c r="H51">
        <v>80</v>
      </c>
      <c r="I51">
        <v>70</v>
      </c>
      <c r="J51">
        <v>500</v>
      </c>
      <c r="K51">
        <v>2</v>
      </c>
      <c r="L51" t="inlineStr">
        <is>
          <t>1+1</t>
        </is>
      </c>
      <c r="M51">
        <v>18</v>
      </c>
      <c r="N51">
        <v>27</v>
      </c>
      <c r="O51" t="inlineStr">
        <is>
          <t/>
        </is>
      </c>
      <c r="P51" t="inlineStr">
        <is>
          <t/>
        </is>
      </c>
      <c r="Q51" t="inlineStr">
        <is>
          <t>datasheet_local_pdf_verified</t>
        </is>
      </c>
      <c r="R51" t="inlineStr">
        <is>
          <t>Local PDF: SUN-_3.6-6.2_K-G05P1-EU-AM2_RU.pdf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>
        <v>7500</v>
      </c>
      <c r="G52">
        <v>550</v>
      </c>
      <c r="H52">
        <v>80</v>
      </c>
      <c r="I52">
        <v>70</v>
      </c>
      <c r="J52">
        <v>500</v>
      </c>
      <c r="K52">
        <v>2</v>
      </c>
      <c r="L52" t="inlineStr">
        <is>
          <t>1+1</t>
        </is>
      </c>
      <c r="M52">
        <v>18</v>
      </c>
      <c r="N52">
        <v>27</v>
      </c>
      <c r="O52" t="inlineStr">
        <is>
          <t/>
        </is>
      </c>
      <c r="P52" t="inlineStr">
        <is>
          <t/>
        </is>
      </c>
      <c r="Q52" t="inlineStr">
        <is>
          <t>datasheet_local_pdf_verified</t>
        </is>
      </c>
      <c r="R52" t="inlineStr">
        <is>
          <t>Local PDF: SUN-_3.6-6.2_K-G05P1-EU-AM2_RU.pdf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>
        <v>9000</v>
      </c>
      <c r="G53">
        <v>550</v>
      </c>
      <c r="H53">
        <v>80</v>
      </c>
      <c r="I53">
        <v>70</v>
      </c>
      <c r="J53">
        <v>500</v>
      </c>
      <c r="K53">
        <v>2</v>
      </c>
      <c r="L53" t="inlineStr">
        <is>
          <t>1+1</t>
        </is>
      </c>
      <c r="M53">
        <v>18</v>
      </c>
      <c r="N53">
        <v>27</v>
      </c>
      <c r="O53" t="inlineStr">
        <is>
          <t/>
        </is>
      </c>
      <c r="P53" t="inlineStr">
        <is>
          <t/>
        </is>
      </c>
      <c r="Q53" t="inlineStr">
        <is>
          <t>datasheet_local_pdf_verified</t>
        </is>
      </c>
      <c r="R53" t="inlineStr">
        <is>
          <t>Local PDF: SUN-_3.6-6.2_K-G05P1-EU-AM2_RU.pdf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>
        <v>9100</v>
      </c>
      <c r="G54">
        <v>550</v>
      </c>
      <c r="H54">
        <v>80</v>
      </c>
      <c r="I54">
        <v>70</v>
      </c>
      <c r="J54">
        <v>500</v>
      </c>
      <c r="K54">
        <v>2</v>
      </c>
      <c r="L54" t="inlineStr">
        <is>
          <t>1+2</t>
        </is>
      </c>
      <c r="M54">
        <v>26</v>
      </c>
      <c r="N54">
        <v>39</v>
      </c>
      <c r="O54" t="inlineStr">
        <is>
          <t/>
        </is>
      </c>
      <c r="P54" t="inlineStr">
        <is>
          <t/>
        </is>
      </c>
      <c r="Q54" t="inlineStr">
        <is>
          <t>datasheet_local_pdf_verified</t>
        </is>
      </c>
      <c r="R54" t="inlineStr">
        <is>
          <t>Local PDF: SUN-_7-8_K-G02P1-EU-AM2_RU.pdf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>
        <v>9800</v>
      </c>
      <c r="G55">
        <v>550</v>
      </c>
      <c r="H55">
        <v>80</v>
      </c>
      <c r="I55">
        <v>70</v>
      </c>
      <c r="J55">
        <v>500</v>
      </c>
      <c r="K55">
        <v>2</v>
      </c>
      <c r="L55" t="inlineStr">
        <is>
          <t>1+2</t>
        </is>
      </c>
      <c r="M55">
        <v>26</v>
      </c>
      <c r="N55">
        <v>39</v>
      </c>
      <c r="O55" t="inlineStr">
        <is>
          <t/>
        </is>
      </c>
      <c r="P55" t="inlineStr">
        <is>
          <t/>
        </is>
      </c>
      <c r="Q55" t="inlineStr">
        <is>
          <t>datasheet_local_pdf_verified</t>
        </is>
      </c>
      <c r="R55" t="inlineStr">
        <is>
          <t>Local PDF: SUN-_7-8_K-G02P1-EU-AM2_RU.pdf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>
        <v>10400</v>
      </c>
      <c r="G56">
        <v>550</v>
      </c>
      <c r="H56">
        <v>80</v>
      </c>
      <c r="I56">
        <v>70</v>
      </c>
      <c r="J56">
        <v>500</v>
      </c>
      <c r="K56">
        <v>2</v>
      </c>
      <c r="L56" t="inlineStr">
        <is>
          <t>1+2</t>
        </is>
      </c>
      <c r="M56">
        <v>26</v>
      </c>
      <c r="N56">
        <v>39</v>
      </c>
      <c r="O56" t="inlineStr">
        <is>
          <t/>
        </is>
      </c>
      <c r="P56" t="inlineStr">
        <is>
          <t/>
        </is>
      </c>
      <c r="Q56" t="inlineStr">
        <is>
          <t>datasheet_local_pdf_verified</t>
        </is>
      </c>
      <c r="R56" t="inlineStr">
        <is>
          <t>Local PDF: SUN-_7-8_K-G02P1-EU-AM2_RU.pdf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>
        <v>13500</v>
      </c>
      <c r="G57">
        <v>550</v>
      </c>
      <c r="H57">
        <v>80</v>
      </c>
      <c r="I57">
        <v>70</v>
      </c>
      <c r="J57">
        <v>500</v>
      </c>
      <c r="K57">
        <v>2</v>
      </c>
      <c r="L57" t="inlineStr">
        <is>
          <t>2+2</t>
        </is>
      </c>
      <c r="M57">
        <v>26</v>
      </c>
      <c r="N57">
        <v>39</v>
      </c>
      <c r="O57" t="inlineStr">
        <is>
          <t/>
        </is>
      </c>
      <c r="P57" t="inlineStr">
        <is>
          <t/>
        </is>
      </c>
      <c r="Q57" t="inlineStr">
        <is>
          <t>datasheet_local_pdf_verified</t>
        </is>
      </c>
      <c r="R57" t="inlineStr">
        <is>
          <t>Local PDF: SUN-_9-10.5_K-G02P1-EU-AM2_RU.pdf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>
        <v>15000</v>
      </c>
      <c r="G58">
        <v>550</v>
      </c>
      <c r="H58">
        <v>80</v>
      </c>
      <c r="I58">
        <v>70</v>
      </c>
      <c r="J58">
        <v>500</v>
      </c>
      <c r="K58">
        <v>2</v>
      </c>
      <c r="L58" t="inlineStr">
        <is>
          <t>2+2</t>
        </is>
      </c>
      <c r="M58">
        <v>26</v>
      </c>
      <c r="N58">
        <v>39</v>
      </c>
      <c r="O58" t="inlineStr">
        <is>
          <t/>
        </is>
      </c>
      <c r="P58" t="inlineStr">
        <is>
          <t/>
        </is>
      </c>
      <c r="Q58" t="inlineStr">
        <is>
          <t>datasheet_local_pdf_verified</t>
        </is>
      </c>
      <c r="R58" t="inlineStr">
        <is>
          <t>Local PDF: SUN-_9-10.5_K-G02P1-EU-AM2_RU.pdf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>
        <v>6000</v>
      </c>
      <c r="G59">
        <v>1100</v>
      </c>
      <c r="H59">
        <v>140</v>
      </c>
      <c r="I59">
        <v>120</v>
      </c>
      <c r="J59">
        <v>1000</v>
      </c>
      <c r="K59">
        <v>2</v>
      </c>
      <c r="L59" t="inlineStr">
        <is>
          <t>1+1</t>
        </is>
      </c>
      <c r="M59">
        <v>13</v>
      </c>
      <c r="N59">
        <v>19.5</v>
      </c>
      <c r="O59" t="inlineStr">
        <is>
          <t/>
        </is>
      </c>
      <c r="P59" t="inlineStr">
        <is>
          <t/>
        </is>
      </c>
      <c r="Q59" t="inlineStr">
        <is>
          <t>datasheet_local_pdf_suffix_review</t>
        </is>
      </c>
      <c r="R59" t="inlineStr">
        <is>
          <t>Local PDF: SUN-_3-15_K-G06P3-EU-BM2_RU.pdf; catalog model suffix is BM2-P1, source PDF suffix is BM2.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>
        <v>7500</v>
      </c>
      <c r="G60">
        <v>1100</v>
      </c>
      <c r="H60">
        <v>140</v>
      </c>
      <c r="I60">
        <v>120</v>
      </c>
      <c r="J60">
        <v>1000</v>
      </c>
      <c r="K60">
        <v>2</v>
      </c>
      <c r="L60" t="inlineStr">
        <is>
          <t>1+1</t>
        </is>
      </c>
      <c r="M60">
        <v>13</v>
      </c>
      <c r="N60">
        <v>19.5</v>
      </c>
      <c r="O60" t="inlineStr">
        <is>
          <t/>
        </is>
      </c>
      <c r="P60" t="inlineStr">
        <is>
          <t/>
        </is>
      </c>
      <c r="Q60" t="inlineStr">
        <is>
          <t>datasheet_local_pdf_suffix_review</t>
        </is>
      </c>
      <c r="R60" t="inlineStr">
        <is>
          <t>Local PDF: SUN-_3-15_K-G06P3-EU-BM2_RU.pdf; catalog model suffix is BM2-P1, source PDF suffix is BM2.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>
        <v>9000</v>
      </c>
      <c r="G61">
        <v>1100</v>
      </c>
      <c r="H61">
        <v>140</v>
      </c>
      <c r="I61">
        <v>120</v>
      </c>
      <c r="J61">
        <v>1000</v>
      </c>
      <c r="K61">
        <v>2</v>
      </c>
      <c r="L61" t="inlineStr">
        <is>
          <t>1+1</t>
        </is>
      </c>
      <c r="M61">
        <v>13</v>
      </c>
      <c r="N61">
        <v>19.5</v>
      </c>
      <c r="O61" t="inlineStr">
        <is>
          <t/>
        </is>
      </c>
      <c r="P61" t="inlineStr">
        <is>
          <t/>
        </is>
      </c>
      <c r="Q61" t="inlineStr">
        <is>
          <t>datasheet_local_pdf_suffix_review</t>
        </is>
      </c>
      <c r="R61" t="inlineStr">
        <is>
          <t>Local PDF: SUN-_3-15_K-G06P3-EU-BM2_RU.pdf; catalog model suffix is BM2-P1, source PDF suffix is BM2.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>
        <v>10500</v>
      </c>
      <c r="G62">
        <v>1100</v>
      </c>
      <c r="H62">
        <v>140</v>
      </c>
      <c r="I62">
        <v>120</v>
      </c>
      <c r="J62">
        <v>1000</v>
      </c>
      <c r="K62">
        <v>2</v>
      </c>
      <c r="L62" t="inlineStr">
        <is>
          <t>1+1</t>
        </is>
      </c>
      <c r="M62">
        <v>13</v>
      </c>
      <c r="N62">
        <v>19.5</v>
      </c>
      <c r="O62" t="inlineStr">
        <is>
          <t/>
        </is>
      </c>
      <c r="P62" t="inlineStr">
        <is>
          <t/>
        </is>
      </c>
      <c r="Q62" t="inlineStr">
        <is>
          <t>datasheet_local_pdf_suffix_review</t>
        </is>
      </c>
      <c r="R62" t="inlineStr">
        <is>
          <t>Local PDF: SUN-_3-15_K-G06P3-EU-BM2_RU.pdf; catalog model suffix is BM2-P1, source PDF suffix is BM2.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>
        <v>12000</v>
      </c>
      <c r="G63">
        <v>1100</v>
      </c>
      <c r="H63">
        <v>140</v>
      </c>
      <c r="I63">
        <v>120</v>
      </c>
      <c r="J63">
        <v>1000</v>
      </c>
      <c r="K63">
        <v>2</v>
      </c>
      <c r="L63" t="inlineStr">
        <is>
          <t>1+1</t>
        </is>
      </c>
      <c r="M63">
        <v>13</v>
      </c>
      <c r="N63">
        <v>19.5</v>
      </c>
      <c r="O63" t="inlineStr">
        <is>
          <t/>
        </is>
      </c>
      <c r="P63" t="inlineStr">
        <is>
          <t/>
        </is>
      </c>
      <c r="Q63" t="inlineStr">
        <is>
          <t>datasheet_local_pdf_suffix_review</t>
        </is>
      </c>
      <c r="R63" t="inlineStr">
        <is>
          <t>Local PDF: SUN-_3-15_K-G06P3-EU-BM2_RU.pdf; catalog model suffix is BM2-P1, source PDF suffix is BM2.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>
        <v>13500</v>
      </c>
      <c r="G64">
        <v>1100</v>
      </c>
      <c r="H64">
        <v>140</v>
      </c>
      <c r="I64">
        <v>120</v>
      </c>
      <c r="J64">
        <v>1000</v>
      </c>
      <c r="K64">
        <v>2</v>
      </c>
      <c r="L64" t="inlineStr">
        <is>
          <t>1+1</t>
        </is>
      </c>
      <c r="M64">
        <v>13</v>
      </c>
      <c r="N64">
        <v>19.5</v>
      </c>
      <c r="O64" t="inlineStr">
        <is>
          <t/>
        </is>
      </c>
      <c r="P64" t="inlineStr">
        <is>
          <t/>
        </is>
      </c>
      <c r="Q64" t="inlineStr">
        <is>
          <t>datasheet_local_pdf_suffix_review</t>
        </is>
      </c>
      <c r="R64" t="inlineStr">
        <is>
          <t>Local PDF: SUN-_3-15_K-G06P3-EU-BM2_RU.pdf; catalog model suffix is BM2-P1, source PDF suffix is BM2.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>
        <v>15000</v>
      </c>
      <c r="G65">
        <v>1100</v>
      </c>
      <c r="H65">
        <v>140</v>
      </c>
      <c r="I65">
        <v>120</v>
      </c>
      <c r="J65">
        <v>1000</v>
      </c>
      <c r="K65">
        <v>2</v>
      </c>
      <c r="L65" t="inlineStr">
        <is>
          <t>1+1</t>
        </is>
      </c>
      <c r="M65">
        <v>13</v>
      </c>
      <c r="N65">
        <v>19.5</v>
      </c>
      <c r="O65" t="inlineStr">
        <is>
          <t/>
        </is>
      </c>
      <c r="P65" t="inlineStr">
        <is>
          <t/>
        </is>
      </c>
      <c r="Q65" t="inlineStr">
        <is>
          <t>datasheet_local_pdf_suffix_review</t>
        </is>
      </c>
      <c r="R65" t="inlineStr">
        <is>
          <t>Local PDF: SUN-_3-15_K-G06P3-EU-BM2_RU.pdf; catalog model suffix is BM2-P1, source PDF suffix is BM2.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>
        <v>18000</v>
      </c>
      <c r="G66">
        <v>1100</v>
      </c>
      <c r="H66">
        <v>140</v>
      </c>
      <c r="I66">
        <v>120</v>
      </c>
      <c r="J66">
        <v>1000</v>
      </c>
      <c r="K66">
        <v>2</v>
      </c>
      <c r="L66" t="inlineStr">
        <is>
          <t>1+1</t>
        </is>
      </c>
      <c r="M66">
        <v>13</v>
      </c>
      <c r="N66">
        <v>19.5</v>
      </c>
      <c r="O66" t="inlineStr">
        <is>
          <t/>
        </is>
      </c>
      <c r="P66" t="inlineStr">
        <is>
          <t/>
        </is>
      </c>
      <c r="Q66" t="inlineStr">
        <is>
          <t>datasheet_local_pdf_suffix_review</t>
        </is>
      </c>
      <c r="R66" t="inlineStr">
        <is>
          <t>Local PDF: SUN-_3-15_K-G06P3-EU-BM2_RU.pdf; catalog model suffix is BM2-P1, source PDF suffix is BM2.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>
        <v>22500</v>
      </c>
      <c r="G67">
        <v>1100</v>
      </c>
      <c r="H67">
        <v>140</v>
      </c>
      <c r="I67">
        <v>120</v>
      </c>
      <c r="J67">
        <v>1000</v>
      </c>
      <c r="K67">
        <v>2</v>
      </c>
      <c r="L67" t="inlineStr">
        <is>
          <t>1+2</t>
        </is>
      </c>
      <c r="M67">
        <v>26</v>
      </c>
      <c r="N67">
        <v>39</v>
      </c>
      <c r="O67" t="inlineStr">
        <is>
          <t/>
        </is>
      </c>
      <c r="P67" t="inlineStr">
        <is>
          <t/>
        </is>
      </c>
      <c r="Q67" t="inlineStr">
        <is>
          <t>datasheet_local_pdf_suffix_review</t>
        </is>
      </c>
      <c r="R67" t="inlineStr">
        <is>
          <t>Local PDF: SUN-_3-15_K-G06P3-EU-BM2_RU.pdf; catalog model suffix is BM2-P1, source PDF suffix is BM2.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>
        <v>23400</v>
      </c>
      <c r="G68">
        <v>1100</v>
      </c>
      <c r="H68">
        <v>250</v>
      </c>
      <c r="I68">
        <v>200</v>
      </c>
      <c r="J68">
        <v>1000</v>
      </c>
      <c r="K68">
        <v>2</v>
      </c>
      <c r="L68" t="inlineStr">
        <is>
          <t>2+2</t>
        </is>
      </c>
      <c r="M68">
        <v>26</v>
      </c>
      <c r="N68">
        <v>39</v>
      </c>
      <c r="O68" t="inlineStr">
        <is>
          <t/>
        </is>
      </c>
      <c r="P68" t="inlineStr">
        <is>
          <t/>
        </is>
      </c>
      <c r="Q68" t="inlineStr">
        <is>
          <t>datasheet_local_pdf_verified</t>
        </is>
      </c>
      <c r="R68" t="inlineStr">
        <is>
          <t>Local PDF: SUN-_18-25_K-G05P3-EU-CM2_RU.pdf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>
        <v>26000</v>
      </c>
      <c r="G69">
        <v>1100</v>
      </c>
      <c r="H69">
        <v>250</v>
      </c>
      <c r="I69">
        <v>200</v>
      </c>
      <c r="J69">
        <v>1000</v>
      </c>
      <c r="K69">
        <v>2</v>
      </c>
      <c r="L69" t="inlineStr">
        <is>
          <t>2+2</t>
        </is>
      </c>
      <c r="M69">
        <v>26</v>
      </c>
      <c r="N69">
        <v>39</v>
      </c>
      <c r="O69" t="inlineStr">
        <is>
          <t/>
        </is>
      </c>
      <c r="P69" t="inlineStr">
        <is>
          <t/>
        </is>
      </c>
      <c r="Q69" t="inlineStr">
        <is>
          <t>datasheet_local_pdf_verified</t>
        </is>
      </c>
      <c r="R69" t="inlineStr">
        <is>
          <t>Local PDF: SUN-_18-25_K-G05P3-EU-CM2_RU.pdf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>
        <v>32500</v>
      </c>
      <c r="G70">
        <v>1100</v>
      </c>
      <c r="H70">
        <v>250</v>
      </c>
      <c r="I70">
        <v>200</v>
      </c>
      <c r="J70">
        <v>1000</v>
      </c>
      <c r="K70">
        <v>2</v>
      </c>
      <c r="L70" t="inlineStr">
        <is>
          <t>2+2</t>
        </is>
      </c>
      <c r="M70">
        <v>26</v>
      </c>
      <c r="N70">
        <v>39</v>
      </c>
      <c r="O70" t="inlineStr">
        <is>
          <t/>
        </is>
      </c>
      <c r="P70" t="inlineStr">
        <is>
          <t/>
        </is>
      </c>
      <c r="Q70" t="inlineStr">
        <is>
          <t>datasheet_local_pdf_verified</t>
        </is>
      </c>
      <c r="R70" t="inlineStr">
        <is>
          <t>Local PDF: SUN-_18-25_K-G05P3-EU-CM2_RU.pdf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>
        <v>39000</v>
      </c>
      <c r="G71">
        <v>1100</v>
      </c>
      <c r="H71">
        <v>250</v>
      </c>
      <c r="I71">
        <v>200</v>
      </c>
      <c r="J71">
        <v>1000</v>
      </c>
      <c r="K71">
        <v>2</v>
      </c>
      <c r="L71" t="inlineStr">
        <is>
          <t>3+3</t>
        </is>
      </c>
      <c r="M71">
        <v>40</v>
      </c>
      <c r="N71">
        <v>60</v>
      </c>
      <c r="O71" t="inlineStr">
        <is>
          <t/>
        </is>
      </c>
      <c r="P71" t="inlineStr">
        <is>
          <t/>
        </is>
      </c>
      <c r="Q71" t="inlineStr">
        <is>
          <t>datasheet_local_pdf_verified</t>
        </is>
      </c>
      <c r="R71" t="inlineStr">
        <is>
          <t>Local PDF: SUN-_30-36_K-G04P3-EU-CM2_RU.pdf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>
        <v>42900</v>
      </c>
      <c r="G72">
        <v>1100</v>
      </c>
      <c r="H72">
        <v>250</v>
      </c>
      <c r="I72">
        <v>200</v>
      </c>
      <c r="J72">
        <v>1000</v>
      </c>
      <c r="K72">
        <v>2</v>
      </c>
      <c r="L72" t="inlineStr">
        <is>
          <t>3+3</t>
        </is>
      </c>
      <c r="M72">
        <v>40</v>
      </c>
      <c r="N72">
        <v>60</v>
      </c>
      <c r="O72" t="inlineStr">
        <is>
          <t/>
        </is>
      </c>
      <c r="P72" t="inlineStr">
        <is>
          <t/>
        </is>
      </c>
      <c r="Q72" t="inlineStr">
        <is>
          <t>datasheet_local_pdf_verified</t>
        </is>
      </c>
      <c r="R72" t="inlineStr">
        <is>
          <t>Local PDF: SUN-_30-36_K-G04P3-EU-CM2_RU.pdf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>
        <v>45500</v>
      </c>
      <c r="G73">
        <v>1100</v>
      </c>
      <c r="H73">
        <v>250</v>
      </c>
      <c r="I73">
        <v>200</v>
      </c>
      <c r="J73">
        <v>1000</v>
      </c>
      <c r="K73">
        <v>2</v>
      </c>
      <c r="L73" t="inlineStr">
        <is>
          <t>3+3</t>
        </is>
      </c>
      <c r="M73">
        <v>40</v>
      </c>
      <c r="N73">
        <v>60</v>
      </c>
      <c r="O73" t="inlineStr">
        <is>
          <t/>
        </is>
      </c>
      <c r="P73" t="inlineStr">
        <is>
          <t/>
        </is>
      </c>
      <c r="Q73" t="inlineStr">
        <is>
          <t>datasheet_local_pdf_verified</t>
        </is>
      </c>
      <c r="R73" t="inlineStr">
        <is>
          <t>Local PDF: SUN-_30-36_K-G04P3-EU-CM2_RU.pdf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>
        <v>60000</v>
      </c>
      <c r="G74">
        <v>1100</v>
      </c>
      <c r="H74">
        <v>250</v>
      </c>
      <c r="I74">
        <v>200</v>
      </c>
      <c r="J74">
        <v>1000</v>
      </c>
      <c r="K74">
        <v>3</v>
      </c>
      <c r="L74" t="inlineStr">
        <is>
          <t>3+3+3</t>
        </is>
      </c>
      <c r="M74">
        <v>40</v>
      </c>
      <c r="N74">
        <v>60</v>
      </c>
      <c r="O74" t="inlineStr">
        <is>
          <t/>
        </is>
      </c>
      <c r="P74" t="inlineStr">
        <is>
          <t/>
        </is>
      </c>
      <c r="Q74" t="inlineStr">
        <is>
          <t>datasheet_local_pdf_verified</t>
        </is>
      </c>
      <c r="R74" t="inlineStr">
        <is>
          <t>Local PDF: SUN-_40-50_K-G04P3-EU-CM4_RU.pdf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>
        <v>67500</v>
      </c>
      <c r="G75">
        <v>1100</v>
      </c>
      <c r="H75">
        <v>250</v>
      </c>
      <c r="I75">
        <v>200</v>
      </c>
      <c r="J75">
        <v>1000</v>
      </c>
      <c r="K75">
        <v>3</v>
      </c>
      <c r="L75" t="inlineStr">
        <is>
          <t>3+3+3</t>
        </is>
      </c>
      <c r="M75">
        <v>40</v>
      </c>
      <c r="N75">
        <v>60</v>
      </c>
      <c r="O75" t="inlineStr">
        <is>
          <t/>
        </is>
      </c>
      <c r="P75" t="inlineStr">
        <is>
          <t/>
        </is>
      </c>
      <c r="Q75" t="inlineStr">
        <is>
          <t>datasheet_local_pdf_verified</t>
        </is>
      </c>
      <c r="R75" t="inlineStr">
        <is>
          <t>Local PDF: SUN-_40-50_K-G04P3-EU-CM4_RU.pdf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>
        <v>75000</v>
      </c>
      <c r="G76">
        <v>1100</v>
      </c>
      <c r="H76">
        <v>250</v>
      </c>
      <c r="I76">
        <v>200</v>
      </c>
      <c r="J76">
        <v>1000</v>
      </c>
      <c r="K76">
        <v>4</v>
      </c>
      <c r="L76" t="inlineStr">
        <is>
          <t>3+3+3+3</t>
        </is>
      </c>
      <c r="M76">
        <v>40</v>
      </c>
      <c r="N76">
        <v>60</v>
      </c>
      <c r="O76" t="inlineStr">
        <is>
          <t/>
        </is>
      </c>
      <c r="P76" t="inlineStr">
        <is>
          <t/>
        </is>
      </c>
      <c r="Q76" t="inlineStr">
        <is>
          <t>datasheet_local_pdf_verified</t>
        </is>
      </c>
      <c r="R76" t="inlineStr">
        <is>
          <t>Local PDF: SUN-_40-50_K-G04P3-EU-CM4_RU.pdf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>
        <v>90000</v>
      </c>
      <c r="G77">
        <v>1100</v>
      </c>
      <c r="H77">
        <v>250</v>
      </c>
      <c r="I77">
        <v>200</v>
      </c>
      <c r="J77">
        <v>1000</v>
      </c>
      <c r="K77">
        <v>4</v>
      </c>
      <c r="L77" t="inlineStr">
        <is>
          <t>4+4+4+4</t>
        </is>
      </c>
      <c r="M77">
        <v>40</v>
      </c>
      <c r="N77">
        <v>60</v>
      </c>
      <c r="O77" t="inlineStr">
        <is>
          <t/>
        </is>
      </c>
      <c r="P77" t="inlineStr">
        <is>
          <t/>
        </is>
      </c>
      <c r="Q77" t="inlineStr">
        <is>
          <t>datasheet_local_pdf_verified</t>
        </is>
      </c>
      <c r="R77" t="inlineStr">
        <is>
          <t>Local PDF: SUN-_60-80_K-G04P3-EU-AM4_RU.pdf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>
        <v>105000</v>
      </c>
      <c r="G78">
        <v>1100</v>
      </c>
      <c r="H78">
        <v>250</v>
      </c>
      <c r="I78">
        <v>200</v>
      </c>
      <c r="J78">
        <v>1000</v>
      </c>
      <c r="K78">
        <v>4</v>
      </c>
      <c r="L78" t="inlineStr">
        <is>
          <t>4+4+4+4</t>
        </is>
      </c>
      <c r="M78">
        <v>40</v>
      </c>
      <c r="N78">
        <v>60</v>
      </c>
      <c r="O78" t="inlineStr">
        <is>
          <t/>
        </is>
      </c>
      <c r="P78" t="inlineStr">
        <is>
          <t/>
        </is>
      </c>
      <c r="Q78" t="inlineStr">
        <is>
          <t>datasheet_local_pdf_verified</t>
        </is>
      </c>
      <c r="R78" t="inlineStr">
        <is>
          <t>Local PDF: SUN-_60-80_K-G04P3-EU-AM4_RU.pdf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>
        <v>112500</v>
      </c>
      <c r="G79">
        <v>1100</v>
      </c>
      <c r="H79">
        <v>250</v>
      </c>
      <c r="I79">
        <v>200</v>
      </c>
      <c r="J79">
        <v>1000</v>
      </c>
      <c r="K79">
        <v>4</v>
      </c>
      <c r="L79" t="inlineStr">
        <is>
          <t>4+4+4+4</t>
        </is>
      </c>
      <c r="M79">
        <v>40</v>
      </c>
      <c r="N79">
        <v>60</v>
      </c>
      <c r="O79" t="inlineStr">
        <is>
          <t/>
        </is>
      </c>
      <c r="P79" t="inlineStr">
        <is>
          <t/>
        </is>
      </c>
      <c r="Q79" t="inlineStr">
        <is>
          <t>datasheet_local_pdf_verified</t>
        </is>
      </c>
      <c r="R79" t="inlineStr">
        <is>
          <t>Local PDF: SUN-_60-80_K-G04P3-EU-AM4_RU.pdf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>
        <v>120000</v>
      </c>
      <c r="G80">
        <v>1100</v>
      </c>
      <c r="H80">
        <v>250</v>
      </c>
      <c r="I80">
        <v>200</v>
      </c>
      <c r="J80">
        <v>1000</v>
      </c>
      <c r="K80">
        <v>4</v>
      </c>
      <c r="L80" t="inlineStr">
        <is>
          <t>4+4+4+4</t>
        </is>
      </c>
      <c r="M80">
        <v>40</v>
      </c>
      <c r="N80">
        <v>60</v>
      </c>
      <c r="O80" t="inlineStr">
        <is>
          <t/>
        </is>
      </c>
      <c r="P80" t="inlineStr">
        <is>
          <t/>
        </is>
      </c>
      <c r="Q80" t="inlineStr">
        <is>
          <t>datasheet_local_pdf_verified</t>
        </is>
      </c>
      <c r="R80" t="inlineStr">
        <is>
          <t>Local PDF: SUN-_60-80_K-G04P3-EU-AM4_RU.pdf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86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28" customWidth="1"/>
    <col min="4" max="4" width="24" customWidth="1"/>
    <col min="5" max="5" width="28" customWidth="1"/>
    <col min="6" max="6" width="30" customWidth="1"/>
    <col min="7" max="7" width="22" customWidth="1"/>
    <col min="8" max="8" width="26" customWidth="1"/>
    <col min="9" max="9" width="18" customWidth="1"/>
  </cols>
  <sheetData>
    <row r="1">
      <c r="A1" t="inlineStr" s="2">
        <is>
          <t>Выпадающие списки (Dropdown lists)</t>
        </is>
      </c>
      <c r="B1" t="inlineStr" s="2">
        <is>
          <t/>
        </is>
      </c>
      <c r="C1" t="inlineStr" s="2">
        <is>
          <t/>
        </is>
      </c>
      <c r="D1" t="inlineStr" s="2">
        <is>
          <t/>
        </is>
      </c>
      <c r="E1" t="inlineStr" s="2">
        <is>
          <t/>
        </is>
      </c>
      <c r="F1" t="inlineStr" s="2">
        <is>
          <t/>
        </is>
      </c>
      <c r="G1" t="inlineStr" s="2">
        <is>
          <t/>
        </is>
      </c>
      <c r="H1" t="inlineStr" s="2">
        <is>
          <t/>
        </is>
      </c>
      <c r="I1" t="inlineStr" s="2">
        <is>
          <t/>
        </is>
      </c>
    </row>
    <row r="2">
      <c r="A2" t="inlineStr" s="1">
        <is>
          <t>Модели инверторов (Inverter models)</t>
        </is>
      </c>
      <c r="B2" t="inlineStr" s="1">
        <is>
          <t>Модели панелей (Panel models)</t>
        </is>
      </c>
      <c r="C2" t="inlineStr" s="1">
        <is>
          <t>Модели АКБ (Battery models)</t>
        </is>
      </c>
      <c r="D2" t="inlineStr" s="1">
        <is>
          <t>Типы кровли (Roof types)</t>
        </is>
      </c>
      <c r="E2" t="inlineStr" s="1">
        <is>
          <t>Способы прокладки (Installation methods)</t>
        </is>
      </c>
      <c r="F2" t="inlineStr" s="1">
        <is>
          <t>Варианты молниезащиты (Lightning options)</t>
        </is>
      </c>
      <c r="G2" t="inlineStr" s="1">
        <is>
          <t>Системы заземления (Earthing systems)</t>
        </is>
      </c>
      <c r="H2" t="inlineStr" s="1">
        <is>
          <t>Тарифные регионы (Tariff regions)</t>
        </is>
      </c>
      <c r="I2" t="inlineStr" s="1">
        <is>
          <t>Режимы тарифов (Tariff modes)</t>
        </is>
      </c>
    </row>
    <row r="3">
      <c r="A3" t="inlineStr">
        <is>
          <t>ANJ-3.2KW-24V</t>
        </is>
      </c>
      <c r="B3" t="inlineStr">
        <is>
          <t>CHSM54N-HC-430</t>
        </is>
      </c>
      <c r="C3" t="inlineStr">
        <is>
          <t>US5000</t>
        </is>
      </c>
      <c r="D3" t="inlineStr">
        <is>
          <t>Metal tile</t>
        </is>
      </c>
      <c r="E3" t="inlineStr">
        <is>
          <t>Open air</t>
        </is>
      </c>
      <c r="F3" t="inlineStr">
        <is>
          <t>No external LPS</t>
        </is>
      </c>
      <c r="G3" t="inlineStr">
        <is>
          <t>TN-S</t>
        </is>
      </c>
      <c r="H3" t="inlineStr">
        <is>
          <t>Moscow starter</t>
        </is>
      </c>
      <c r="I3" t="inlineStr">
        <is>
          <t>Single-rate</t>
        </is>
      </c>
    </row>
    <row r="4">
      <c r="A4" t="inlineStr">
        <is>
          <t>ANJ-3.6KW-24V</t>
        </is>
      </c>
      <c r="B4" t="inlineStr">
        <is>
          <t>CHSM54N-HC-435</t>
        </is>
      </c>
      <c r="C4" t="inlineStr">
        <is>
          <t>Force L2</t>
        </is>
      </c>
      <c r="D4" t="inlineStr">
        <is>
          <t>Standing seam</t>
        </is>
      </c>
      <c r="E4" t="inlineStr">
        <is>
          <t>Conduit or trunking</t>
        </is>
      </c>
      <c r="F4" t="inlineStr">
        <is>
          <t>External LPS</t>
        </is>
      </c>
      <c r="G4" t="inlineStr">
        <is>
          <t>TN-C-S</t>
        </is>
      </c>
      <c r="H4" t="inlineStr">
        <is>
          <t>Saint Petersburg starter</t>
        </is>
      </c>
      <c r="I4" t="inlineStr">
        <is>
          <t>Day-night</t>
        </is>
      </c>
    </row>
    <row r="5">
      <c r="A5" t="inlineStr">
        <is>
          <t>ANJ-4.2KW-24V</t>
        </is>
      </c>
      <c r="B5" t="inlineStr">
        <is>
          <t>CHSM54N-HC-440</t>
        </is>
      </c>
      <c r="C5" t="inlineStr">
        <is>
          <t>Force H2</t>
        </is>
      </c>
      <c r="D5" t="inlineStr">
        <is>
          <t>Trapezoidal sheet</t>
        </is>
      </c>
      <c r="E5" t="inlineStr">
        <is>
          <t>Thermal insulation</t>
        </is>
      </c>
      <c r="F5" t="inlineStr">
        <is>
          <t>Overhead supply</t>
        </is>
      </c>
      <c r="G5" t="inlineStr">
        <is>
          <t>TT</t>
        </is>
      </c>
      <c r="H5" t="inlineStr">
        <is>
          <t>Krasnodar starter</t>
        </is>
      </c>
      <c r="I5" t="inlineStr">
        <is>
          <t/>
        </is>
      </c>
    </row>
    <row r="6">
      <c r="A6" t="inlineStr">
        <is>
          <t>ANJ-6.2KW-48V</t>
        </is>
      </c>
      <c r="B6" t="inlineStr">
        <is>
          <t>CHSM72N(DG)/F-BH-570</t>
        </is>
      </c>
      <c r="C6" t="inlineStr">
        <is>
          <t>BX51100</t>
        </is>
      </c>
      <c r="D6" t="inlineStr">
        <is>
          <t>Flat roof</t>
        </is>
      </c>
      <c r="E6" t="inlineStr">
        <is>
          <t/>
        </is>
      </c>
      <c r="F6" t="inlineStr">
        <is>
          <t>Long outdoor DC route</t>
        </is>
      </c>
      <c r="G6" t="inlineStr">
        <is>
          <t>IT</t>
        </is>
      </c>
      <c r="H6" t="inlineStr">
        <is>
          <t>Rostov-on-Don starter</t>
        </is>
      </c>
      <c r="I6" t="inlineStr">
        <is>
          <t/>
        </is>
      </c>
    </row>
    <row r="7">
      <c r="A7" t="inlineStr">
        <is>
          <t>ANJ-8.2KW-48V</t>
        </is>
      </c>
      <c r="B7" t="inlineStr">
        <is>
          <t>CHSM72N(DG)/F-BH-575</t>
        </is>
      </c>
      <c r="C7" t="inlineStr">
        <is>
          <t>PowerRack</t>
        </is>
      </c>
      <c r="D7" t="inlineStr">
        <is>
          <t>Ground mount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Yekaterinburg starter</t>
        </is>
      </c>
      <c r="I7" t="inlineStr">
        <is>
          <t/>
        </is>
      </c>
    </row>
    <row r="8">
      <c r="A8" t="inlineStr">
        <is>
          <t>ANJ-10.2KW-48V</t>
        </is>
      </c>
      <c r="B8" t="inlineStr">
        <is>
          <t>CHSM72N(DG)/F-BH-580</t>
        </is>
      </c>
      <c r="C8" t="inlineStr">
        <is>
          <t>Tower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ANJ-11KW-48V</t>
        </is>
      </c>
      <c r="B9" t="inlineStr">
        <is>
          <t>CHSM66N(DG)/F-BH-615</t>
        </is>
      </c>
      <c r="C9" t="inlineStr">
        <is>
          <t>SE-G5.1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ANJ-12KW-48V</t>
        </is>
      </c>
      <c r="B10" t="inlineStr">
        <is>
          <t>CHSM66N(DG)/F-BH-620</t>
        </is>
      </c>
      <c r="C10" t="inlineStr">
        <is>
          <t>SE-F5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SUN-3K-SG04LP1-24-EU</t>
        </is>
      </c>
      <c r="B11" t="inlineStr">
        <is>
          <t>JAM54S30-410/MR</t>
        </is>
      </c>
      <c r="C11" t="inlineStr">
        <is>
          <t>RW-F16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SUN-3K-SG04LP1-EU</t>
        </is>
      </c>
      <c r="B12" t="inlineStr">
        <is>
          <t>JAM54S30-415/MR</t>
        </is>
      </c>
      <c r="C12" t="inlineStr">
        <is>
          <t>Gobel Power 5.12kWh 51.2V 100Ah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SUN-3.6K-SG05LP1-EU-AM2-P</t>
        </is>
      </c>
      <c r="B13" t="inlineStr">
        <is>
          <t>JAM54S30-420/MR</t>
        </is>
      </c>
      <c r="C13" t="inlineStr">
        <is>
          <t>Gobel Power 10.24kWh 51.2V 200Ah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SUN-5K-SG05LP1-EU-AM2-P</t>
        </is>
      </c>
      <c r="B14" t="inlineStr">
        <is>
          <t>JAM54D40-440/LB</t>
        </is>
      </c>
      <c r="C14" t="inlineStr">
        <is>
          <t>GSL 5.12kWh 51.2V 100Ah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SUN-6K-SG05LP1-EU-AM2-P</t>
        </is>
      </c>
      <c r="B15" t="inlineStr">
        <is>
          <t>JAM54D40-445/LB</t>
        </is>
      </c>
      <c r="C15" t="inlineStr">
        <is>
          <t>GSL 10.24kWh 51.2V 200Ah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SUN-8K-SG05LP1-EU-AM2-P</t>
        </is>
      </c>
      <c r="B16" t="inlineStr">
        <is>
          <t>JAM72D42-575/LB</t>
        </is>
      </c>
      <c r="C16" t="inlineStr">
        <is>
          <t>LPBA48100-OL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>SUN-10K-SG02LP1-EU-AM3-P</t>
        </is>
      </c>
      <c r="B17" t="inlineStr">
        <is>
          <t>JAM72D42-580/LB</t>
        </is>
      </c>
      <c r="C17" t="inlineStr">
        <is>
          <t>LPBF48100-M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</row>
    <row r="18">
      <c r="A18" t="inlineStr">
        <is>
          <t>SUN-12K-SG02LP1-EU-AM3-P</t>
        </is>
      </c>
      <c r="B18" t="inlineStr">
        <is>
          <t>JAM72D42-585/LB</t>
        </is>
      </c>
      <c r="C18" t="inlineStr">
        <is>
          <t>HinaESS 5.12kWh 51.2V 100Ah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</row>
    <row r="19">
      <c r="A19" t="inlineStr">
        <is>
          <t>SUN-14K-SG01LP1-EU-AM3-P</t>
        </is>
      </c>
      <c r="B19" t="inlineStr">
        <is>
          <t>JAM72D42-590/LB</t>
        </is>
      </c>
      <c r="C19" t="inlineStr">
        <is>
          <t>HinaESS 10.24kWh 51.2V 200Ah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</row>
    <row r="20">
      <c r="A20" t="inlineStr">
        <is>
          <t>SUN-16K-SG01LP1-EU-AM3-P</t>
        </is>
      </c>
      <c r="B20" t="inlineStr">
        <is>
          <t>JAM72D42-595/LB</t>
        </is>
      </c>
      <c r="C20" t="inlineStr">
        <is>
          <t>Basen Green 5.12kWh 51.2V 100Ah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SUN-18K-SG01LP1-EU-AM3-P</t>
        </is>
      </c>
      <c r="B21" t="inlineStr">
        <is>
          <t>JKM420N-54HL4R-B</t>
        </is>
      </c>
      <c r="C21" t="inlineStr">
        <is>
          <t>Basen Green 10.24kWh 51.2V 200Ah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</row>
    <row r="22">
      <c r="A22" t="inlineStr">
        <is>
          <t>SUN-5K-SG05LP3-EU-SM2</t>
        </is>
      </c>
      <c r="B22" t="inlineStr">
        <is>
          <t>JKM425N-54HL4R-B</t>
        </is>
      </c>
      <c r="C22" t="inlineStr">
        <is>
          <t>HTE 5.12kWh 51.2V 100Ah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</row>
    <row r="23">
      <c r="A23" t="inlineStr">
        <is>
          <t>SUN-6K-SG05LP3-EU-SM2</t>
        </is>
      </c>
      <c r="B23" t="inlineStr">
        <is>
          <t>JKM430N-54HL4R-B</t>
        </is>
      </c>
      <c r="C23" t="inlineStr">
        <is>
          <t>SRNE ESS 5.12kWh 51.2V 100Ah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</row>
    <row r="24">
      <c r="A24" t="inlineStr">
        <is>
          <t>SUN-8K-SG05LP3-EU-SM2</t>
        </is>
      </c>
      <c r="B24" t="inlineStr">
        <is>
          <t>JKM465N-60HL4-V</t>
        </is>
      </c>
      <c r="C24" t="inlineStr">
        <is>
          <t>Hinen 5.12kWh 51.2V 100Ah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</row>
    <row r="25">
      <c r="A25" t="inlineStr">
        <is>
          <t>SUN-10K-SG05LP3-EU-SM2</t>
        </is>
      </c>
      <c r="B25" t="inlineStr">
        <is>
          <t>JKM470N-60HL4-V</t>
        </is>
      </c>
      <c r="C25" t="inlineStr">
        <is>
          <t>Svolt ESS 5.12kWh 51.2V 100Ah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</row>
    <row r="26">
      <c r="A26" t="inlineStr">
        <is>
          <t>SUN-12K-SG05LP3-EU-SM2</t>
        </is>
      </c>
      <c r="B26" t="inlineStr">
        <is>
          <t>JKM475N-60HL4-V</t>
        </is>
      </c>
      <c r="C26" t="inlineStr">
        <is>
          <t>EVE Energy ESS 5.12kWh 51.2V 100Ah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</row>
    <row r="27">
      <c r="A27" t="inlineStr">
        <is>
          <t>SUN-14K-SG05LP3-EU-SM2</t>
        </is>
      </c>
      <c r="B27" t="inlineStr">
        <is>
          <t>JKM610N-66HL4M-V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</row>
    <row r="28">
      <c r="A28" t="inlineStr">
        <is>
          <t>SUN-15K-SG05LP3-EU-SM2</t>
        </is>
      </c>
      <c r="B28" t="inlineStr">
        <is>
          <t>JKM615N-66HL4M-V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</row>
    <row r="29">
      <c r="A29" t="inlineStr">
        <is>
          <t>SUN-16K-SG05LP3-EU-SM2</t>
        </is>
      </c>
      <c r="B29" t="inlineStr">
        <is>
          <t>JKM620N-66HL4M-V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</row>
    <row r="30">
      <c r="A30" t="inlineStr">
        <is>
          <t>SUN-18K-SG05LP3-EU-SM2</t>
        </is>
      </c>
      <c r="B30" t="inlineStr">
        <is>
          <t>JKM565N-72HL4-V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</row>
    <row r="31">
      <c r="A31" t="inlineStr">
        <is>
          <t>SUN-20K-SG05LP3-EU-SM2</t>
        </is>
      </c>
      <c r="B31" t="inlineStr">
        <is>
          <t>JKM570N-72HL4-V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</row>
    <row r="32">
      <c r="A32" t="inlineStr">
        <is>
          <t>SUN-10K-SG01HP3-EU-AM2</t>
        </is>
      </c>
      <c r="B32" t="inlineStr">
        <is>
          <t>JKM575N-72HL4-V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</row>
    <row r="33">
      <c r="A33" t="inlineStr">
        <is>
          <t>SUN-12K-SG01HP3-EU-AM2</t>
        </is>
      </c>
      <c r="B33" t="inlineStr">
        <is>
          <t>JKM580N-72HL4-V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</row>
    <row r="34">
      <c r="A34" t="inlineStr">
        <is>
          <t>SUN-15K-SG01HP3-EU-AM2</t>
        </is>
      </c>
      <c r="B34" t="inlineStr">
        <is>
          <t>JKM585N-72HL4-V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</row>
    <row r="35">
      <c r="A35" t="inlineStr">
        <is>
          <t>SUN-20K-SG01HP3-EU-AM2</t>
        </is>
      </c>
      <c r="B35" t="inlineStr">
        <is>
          <t>LR5-54HTH-425M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</row>
    <row r="36">
      <c r="A36" t="inlineStr">
        <is>
          <t>SUN-25K-SG01HP3-EU-AM2</t>
        </is>
      </c>
      <c r="B36" t="inlineStr">
        <is>
          <t>LR5-54HTH-430M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</row>
    <row r="37">
      <c r="A37" t="inlineStr">
        <is>
          <t>SUN-30K-SG02HP3-EU-AM3</t>
        </is>
      </c>
      <c r="B37" t="inlineStr">
        <is>
          <t>LR5-54HTH-435M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</row>
    <row r="38">
      <c r="A38" t="inlineStr">
        <is>
          <t>SUN-40K-SG01HP3-EU-BM4</t>
        </is>
      </c>
      <c r="B38" t="inlineStr">
        <is>
          <t>LR5-72HGD-585M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</row>
    <row r="39">
      <c r="A39" t="inlineStr">
        <is>
          <t>SUN-50K-SG01HP3-EU-BM4</t>
        </is>
      </c>
      <c r="B39" t="inlineStr">
        <is>
          <t>LR5-72HGD-590M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</row>
    <row r="40">
      <c r="A40" t="inlineStr">
        <is>
          <t>SUN-60K-SG02HP3-EU-EM6</t>
        </is>
      </c>
      <c r="B40" t="inlineStr">
        <is>
          <t>LR5-72HGD-595M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</row>
    <row r="41">
      <c r="A41" t="inlineStr">
        <is>
          <t>SUN-70K-SG02HP3-EU-EM6</t>
        </is>
      </c>
      <c r="B41" t="inlineStr">
        <is>
          <t>LR5-54HTB-430M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</row>
    <row r="42">
      <c r="A42" t="inlineStr">
        <is>
          <t>SUN-75K-SG02HP3-EU-EM6</t>
        </is>
      </c>
      <c r="B42" t="inlineStr">
        <is>
          <t>LR5-54HTB-435M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</row>
    <row r="43">
      <c r="A43" t="inlineStr">
        <is>
          <t>SUN-80K-SG02HP3-EU-EM6</t>
        </is>
      </c>
      <c r="B43" t="inlineStr">
        <is>
          <t>LR5-72HTH-565M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</row>
    <row r="44">
      <c r="A44" t="inlineStr">
        <is>
          <t>SUN-100K-SG02HP3-EU-GM10</t>
        </is>
      </c>
      <c r="B44" t="inlineStr">
        <is>
          <t>LR5-72HTH-570M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</row>
    <row r="45">
      <c r="A45" t="inlineStr">
        <is>
          <t>SUN-125K-SG02HP3-EU-GM10</t>
        </is>
      </c>
      <c r="B45" t="inlineStr">
        <is>
          <t>LR5-72HTH-575M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</row>
    <row r="46">
      <c r="A46" t="inlineStr">
        <is>
          <t>SUN-1K-G04P1-EU-AM1</t>
        </is>
      </c>
      <c r="B46" t="inlineStr">
        <is>
          <t>LR5-72HTH-580M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</row>
    <row r="47">
      <c r="A47" t="inlineStr">
        <is>
          <t>SUN-1.5K-G04P1-EU-AM1</t>
        </is>
      </c>
      <c r="B47" t="inlineStr">
        <is>
          <t>LR5-72HTH-585M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</row>
    <row r="48">
      <c r="A48" t="inlineStr">
        <is>
          <t>SUN-2K-G04P1-EU-AM1</t>
        </is>
      </c>
      <c r="B48" t="inlineStr">
        <is>
          <t>SPDG430-N108M10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</row>
    <row r="49">
      <c r="A49" t="inlineStr">
        <is>
          <t>SUN-3K-G04P1-EU-AM1</t>
        </is>
      </c>
      <c r="B49" t="inlineStr">
        <is>
          <t>SPDG435-N108M10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</row>
    <row r="50">
      <c r="A50" t="inlineStr">
        <is>
          <t>SUN-3.6K-G04P1-EU-AM1</t>
        </is>
      </c>
      <c r="B50" t="inlineStr">
        <is>
          <t>SPDG440-N108M10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</row>
    <row r="51">
      <c r="A51" t="inlineStr">
        <is>
          <t>SUN-4K-G04P1-EU-AM1</t>
        </is>
      </c>
      <c r="B51" t="inlineStr">
        <is>
          <t>SPDG570-N144M10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</row>
    <row r="52">
      <c r="A52" t="inlineStr">
        <is>
          <t>SUN-4K-G05P1-EU-AM2</t>
        </is>
      </c>
      <c r="B52" t="inlineStr">
        <is>
          <t>SPDG575-N144M10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</row>
    <row r="53">
      <c r="A53" t="inlineStr">
        <is>
          <t>SUN-5K-G05P1-EU-AM2</t>
        </is>
      </c>
      <c r="B53" t="inlineStr">
        <is>
          <t>SPDG580-N144M10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</row>
    <row r="54">
      <c r="A54" t="inlineStr">
        <is>
          <t>SUN-6K-G05P1-EU-AM2</t>
        </is>
      </c>
      <c r="B54" t="inlineStr">
        <is>
          <t>SPDG585-N144M10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</row>
    <row r="55">
      <c r="A55" t="inlineStr">
        <is>
          <t>SUN-7K-G02P1-EU-AM2</t>
        </is>
      </c>
      <c r="B55" t="inlineStr">
        <is>
          <t>TSM-NEG9R.25-430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</row>
    <row r="56">
      <c r="A56" t="inlineStr">
        <is>
          <t>SUN-7.5K-G02P1-EU-AM2</t>
        </is>
      </c>
      <c r="B56" t="inlineStr">
        <is>
          <t>TSM-NEG9R.25-435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</row>
    <row r="57">
      <c r="A57" t="inlineStr">
        <is>
          <t>SUN-8K-G02P1-EU-AM2</t>
        </is>
      </c>
      <c r="B57" t="inlineStr">
        <is>
          <t>TSM-NEG9R.25-440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</row>
    <row r="58">
      <c r="A58" t="inlineStr">
        <is>
          <t>SUN-9K-G02P1-EU-AM2</t>
        </is>
      </c>
      <c r="B58" t="inlineStr">
        <is>
          <t>TSM-NEG18R.28-500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</row>
    <row r="59">
      <c r="A59" t="inlineStr">
        <is>
          <t>SUN-10K-G02P1-EU-AM2</t>
        </is>
      </c>
      <c r="B59" t="inlineStr">
        <is>
          <t>TSM-NEG18R.28-505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</row>
    <row r="60">
      <c r="A60" t="inlineStr">
        <is>
          <t>SUN-4K-G06P3-EU-BM2-P1</t>
        </is>
      </c>
      <c r="B60" t="inlineStr">
        <is>
          <t>TSM-NEG18R.28-510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</row>
    <row r="61">
      <c r="A61" t="inlineStr">
        <is>
          <t>SUN-5K-G06P3-EU-BM2-P1</t>
        </is>
      </c>
      <c r="B61" t="inlineStr">
        <is>
          <t>TSM-NEG19RC.20-575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</row>
    <row r="62">
      <c r="A62" t="inlineStr">
        <is>
          <t>SUN-6K-G06P3-EU-BM2-P1</t>
        </is>
      </c>
      <c r="B62" t="inlineStr">
        <is>
          <t>TSM-NEG19RC.20-580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</row>
    <row r="63">
      <c r="A63" t="inlineStr">
        <is>
          <t>SUN-7K-G06P3-EU-BM2-P1</t>
        </is>
      </c>
      <c r="B63" t="inlineStr">
        <is>
          <t>TSM-NEG19RC.20-585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</row>
    <row r="64">
      <c r="A64" t="inlineStr">
        <is>
          <t>SUN-8K-G06P3-EU-BM2-P1</t>
        </is>
      </c>
      <c r="B64" t="inlineStr">
        <is>
          <t>TSM-NEG21C.20-700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</row>
    <row r="65">
      <c r="A65" t="inlineStr">
        <is>
          <t>SUN-9K-G06P3-EU-BM2-P1</t>
        </is>
      </c>
      <c r="B65" t="inlineStr">
        <is>
          <t>TSM-NEG21C.20-705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</row>
    <row r="66">
      <c r="A66" t="inlineStr">
        <is>
          <t>SUN-10K-G06P3-EU-BM2-P1</t>
        </is>
      </c>
      <c r="B66" t="inlineStr">
        <is>
          <t>TSM-NEG21C.20-710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</row>
    <row r="67">
      <c r="A67" t="inlineStr">
        <is>
          <t>SUN-12K-G06P3-EU-BM2-P1</t>
        </is>
      </c>
      <c r="B67" t="inlineStr">
        <is>
          <t>UL-430M-108HV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</row>
    <row r="68">
      <c r="A68" t="inlineStr">
        <is>
          <t>SUN-15K-G06P3-EU-BM2-P1</t>
        </is>
      </c>
      <c r="B68" t="inlineStr">
        <is>
          <t>UL-435M-108HV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</row>
    <row r="69">
      <c r="A69" t="inlineStr">
        <is>
          <t>SUN-18K-G05</t>
        </is>
      </c>
      <c r="B69" t="inlineStr">
        <is>
          <t>UL-440M-108HV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</row>
    <row r="70">
      <c r="A70" t="inlineStr">
        <is>
          <t>SUN-20K-G05</t>
        </is>
      </c>
      <c r="B70" t="inlineStr">
        <is>
          <t>UL-550M-144HV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</row>
    <row r="71">
      <c r="A71" t="inlineStr">
        <is>
          <t>SUN-25K-G05</t>
        </is>
      </c>
      <c r="B71" t="inlineStr">
        <is>
          <t>UL-555M-144HV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</row>
    <row r="72">
      <c r="A72" t="inlineStr">
        <is>
          <t>SUN-30K-G04</t>
        </is>
      </c>
      <c r="B72" t="inlineStr">
        <is>
          <t>UL-560M-144HV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</row>
    <row r="73">
      <c r="A73" t="inlineStr">
        <is>
          <t>SUN-33K-G04</t>
        </is>
      </c>
      <c r="B73" t="inlineStr">
        <is>
          <t>UL-575M-144HV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</row>
    <row r="74">
      <c r="A74" t="inlineStr">
        <is>
          <t>SUN-35K-G04</t>
        </is>
      </c>
      <c r="B74" t="inlineStr">
        <is>
          <t>UL-580M-144HV</t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</row>
    <row r="75">
      <c r="A75" t="inlineStr">
        <is>
          <t>SUN-40K-G04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</row>
    <row r="76">
      <c r="A76" t="inlineStr">
        <is>
          <t>SUN-45K-G04</t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</row>
    <row r="77">
      <c r="A77" t="inlineStr">
        <is>
          <t>SUN-50K-G04</t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</row>
    <row r="78">
      <c r="A78" t="inlineStr">
        <is>
          <t>SUN-60K-G04P3-EU-AM4</t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</row>
    <row r="79">
      <c r="A79" t="inlineStr">
        <is>
          <t>SUN-70K-G04P3-EU-AM4</t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</row>
    <row r="80">
      <c r="A80" t="inlineStr">
        <is>
          <t>SUN-75K-G04P3-EU-AM4</t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</row>
    <row r="81">
      <c r="A81" t="inlineStr">
        <is>
          <t>SUN-80K-G04P3-EU-AM4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</row>
    <row r="82">
      <c r="A82" t="inlineStr">
        <is>
          <t>SUN-100K-G03</t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</row>
    <row r="83">
      <c r="A83" t="inlineStr">
        <is>
          <t>SUN-110K-G03</t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</row>
    <row r="84">
      <c r="A84" t="inlineStr">
        <is>
          <t>SUN-120K-G01P3-EU-AM8</t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</row>
    <row r="85">
      <c r="A85" t="inlineStr">
        <is>
          <t>SUN-125K-G01P3-EU-AM8</t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</row>
    <row r="86">
      <c r="A86" t="inlineStr">
        <is>
          <t>SUN-130K-G01P3-EU-AM8</t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</row>
    <row r="87">
      <c r="A87" t="inlineStr">
        <is>
          <t>SUN-135K-G01P3-EU-AM8</t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</row>
    <row r="88">
      <c r="A88" t="inlineStr">
        <is>
          <t>SUN-136K-G01P3-EU-AM8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</row>
    <row r="89">
      <c r="A89" t="inlineStr">
        <is>
          <t>SUN-3.6K-SG03LP1-EU</t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</row>
    <row r="90">
      <c r="A90" t="inlineStr">
        <is>
          <t>SUN-5K-SG03LP1-EU</t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</row>
    <row r="91">
      <c r="A91" t="inlineStr">
        <is>
          <t>SUN-6K-SG03LP1-EU</t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</row>
    <row r="92">
      <c r="A92" t="inlineStr">
        <is>
          <t>SUN-8K-SG01LP1-EU</t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</row>
    <row r="93">
      <c r="A93" t="inlineStr">
        <is>
          <t>SPH 3000TL BL-UP</t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</row>
    <row r="94">
      <c r="A94" t="inlineStr">
        <is>
          <t>SPH 3600TL BL-UP</t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</row>
    <row r="95">
      <c r="A95" t="inlineStr">
        <is>
          <t>SPH 4000TL BL-UP</t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</row>
    <row r="96">
      <c r="A96" t="inlineStr">
        <is>
          <t>SPH 4600TL BL-UP</t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</row>
    <row r="97">
      <c r="A97" t="inlineStr">
        <is>
          <t>SPH 5000TL BL-UP</t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</row>
    <row r="98">
      <c r="A98" t="inlineStr">
        <is>
          <t>SPH 6000TL BL-UP</t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</row>
    <row r="99">
      <c r="A99" t="inlineStr">
        <is>
          <t>SPH 4000TL3 BH-UP</t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</row>
    <row r="100">
      <c r="A100" t="inlineStr">
        <is>
          <t>SPH 5000TL3 BH-UP</t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</row>
    <row r="101">
      <c r="A101" t="inlineStr">
        <is>
          <t>SPH 6000TL3 BH-UP</t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</row>
    <row r="102">
      <c r="A102" t="inlineStr">
        <is>
          <t>SPH 7000TL3 BH-UP</t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</row>
    <row r="103">
      <c r="A103" t="inlineStr">
        <is>
          <t>SPH 8000TL3 BH-UP</t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</row>
    <row r="104">
      <c r="A104" t="inlineStr">
        <is>
          <t>SPH 10000TL3 BH-UP</t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</row>
    <row r="105">
      <c r="A105" t="inlineStr">
        <is>
          <t>MIN 2500TL-XH</t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</row>
    <row r="106">
      <c r="A106" t="inlineStr">
        <is>
          <t>MIN 3000TL-XH</t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</row>
    <row r="107">
      <c r="A107" t="inlineStr">
        <is>
          <t>MIN 3600TL-XH</t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</row>
    <row r="108">
      <c r="A108" t="inlineStr">
        <is>
          <t>MIN 4200TL-XH</t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</row>
    <row r="109">
      <c r="A109" t="inlineStr">
        <is>
          <t>MIN 4600TL-XH</t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</row>
    <row r="110">
      <c r="A110" t="inlineStr">
        <is>
          <t>MIN 5000TL-XH</t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</row>
    <row r="111">
      <c r="A111" t="inlineStr">
        <is>
          <t>MIN 6000TL-XH</t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</row>
    <row r="112">
      <c r="A112" t="inlineStr">
        <is>
          <t>MOD 3000TL3-XH BP</t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</row>
    <row r="113">
      <c r="A113" t="inlineStr">
        <is>
          <t>MOD 4000TL3-XH BP</t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</row>
    <row r="114">
      <c r="A114" t="inlineStr">
        <is>
          <t>MOD 5000TL3-XH BP</t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</row>
    <row r="115">
      <c r="A115" t="inlineStr">
        <is>
          <t>MOD 6000TL3-XH BP</t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</row>
    <row r="116">
      <c r="A116" t="inlineStr">
        <is>
          <t>MOD 7000TL3-XH BP</t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</row>
    <row r="117">
      <c r="A117" t="inlineStr">
        <is>
          <t>MOD 8000TL3-XH BP</t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</row>
    <row r="118">
      <c r="A118" t="inlineStr">
        <is>
          <t>MOD 9000TL3-XH BP</t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</row>
    <row r="119">
      <c r="A119" t="inlineStr">
        <is>
          <t>MOD 10KTL3-XH BP</t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</row>
    <row r="120">
      <c r="A120" t="inlineStr">
        <is>
          <t>MOD 11KTL3-XH BP</t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</row>
    <row r="121">
      <c r="A121" t="inlineStr">
        <is>
          <t>MOD 12KTL3-XH BP</t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</row>
    <row r="122">
      <c r="A122" t="inlineStr">
        <is>
          <t>MOD 13KTL3-XH BP</t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</row>
    <row r="123">
      <c r="A123" t="inlineStr">
        <is>
          <t>MOD 15KTL3-XH BP</t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</row>
    <row r="124">
      <c r="A124" t="inlineStr">
        <is>
          <t>WIT 50KTL3-A-LV</t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</row>
    <row r="125">
      <c r="A125" t="inlineStr">
        <is>
          <t>WIT 63KTL3-A-LV</t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</row>
    <row r="126">
      <c r="A126" t="inlineStr">
        <is>
          <t>WIT 75KTL3-A-LV</t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</row>
    <row r="127">
      <c r="A127" t="inlineStr">
        <is>
          <t>WIT 100KTL3-A-LV</t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</row>
    <row r="128">
      <c r="A128" t="inlineStr">
        <is>
          <t>PV1800 VHM-2KW-24V</t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</row>
    <row r="129">
      <c r="A129" t="inlineStr">
        <is>
          <t>PV1800 VHM-3KW-24V</t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</row>
    <row r="130">
      <c r="A130" t="inlineStr">
        <is>
          <t>PV1800 VHM-4KW-48V</t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</row>
    <row r="131">
      <c r="A131" t="inlineStr">
        <is>
          <t>PV1800 VHM-5KW-48V</t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</row>
    <row r="132">
      <c r="A132" t="inlineStr">
        <is>
          <t>PV1800 PRO-3KW-24V</t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</row>
    <row r="133">
      <c r="A133" t="inlineStr">
        <is>
          <t>PV1800 PRO-5.2KW-48V</t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</row>
    <row r="134">
      <c r="A134" t="inlineStr">
        <is>
          <t>PV1800 PRO-6.2KW-48V</t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</row>
    <row r="135">
      <c r="A135" t="inlineStr">
        <is>
          <t>PV18-3024 VPM</t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</row>
    <row r="136">
      <c r="A136" t="inlineStr">
        <is>
          <t>PV18-5048 VPM</t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</row>
    <row r="137">
      <c r="A137" t="inlineStr">
        <is>
          <t>PV18-5548 VPM</t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</row>
    <row r="138">
      <c r="A138" t="inlineStr">
        <is>
          <t>PV18-6048 VPM</t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</row>
    <row r="139">
      <c r="A139" t="inlineStr">
        <is>
          <t>PV18-3024 VHM</t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</row>
    <row r="140">
      <c r="A140" t="inlineStr">
        <is>
          <t>PV18-5048 VHM</t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</row>
    <row r="141">
      <c r="A141" t="inlineStr">
        <is>
          <t>PV18-5548 VHM</t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</row>
    <row r="142">
      <c r="A142" t="inlineStr">
        <is>
          <t>PV19-3024 VPM</t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</row>
    <row r="143">
      <c r="A143" t="inlineStr">
        <is>
          <t>PV19-5048 VPM</t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</row>
    <row r="144">
      <c r="A144" t="inlineStr">
        <is>
          <t>PV19-6048 VPM</t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</row>
    <row r="145">
      <c r="A145" t="inlineStr">
        <is>
          <t>PH1800 PLUS-5.5KW-48V</t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</row>
    <row r="146">
      <c r="A146" t="inlineStr">
        <is>
          <t>POW-HVM3.0KW-24V</t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</row>
    <row r="147">
      <c r="A147" t="inlineStr">
        <is>
          <t>POW-HVM5.5K-48V</t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</row>
    <row r="148">
      <c r="A148" t="inlineStr">
        <is>
          <t>POW-HVM5.5K-48V-LIP</t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</row>
    <row r="149">
      <c r="A149" t="inlineStr">
        <is>
          <t>POW-HVM5.5M</t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</row>
    <row r="150">
      <c r="A150" t="inlineStr">
        <is>
          <t>POW-HPM5.6KW</t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</row>
    <row r="151">
      <c r="A151" t="inlineStr">
        <is>
          <t>POW-SUNSMART-5.5KW-48V</t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</row>
    <row r="152">
      <c r="A152" t="inlineStr">
        <is>
          <t>POW-SUNSMART-5.6KW-48V</t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</row>
    <row r="153">
      <c r="A153" t="inlineStr">
        <is>
          <t>POW-VM5K-III</t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</row>
    <row r="154">
      <c r="A154" t="inlineStr">
        <is>
          <t>POW-MAX-8KW</t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</row>
    <row r="155">
      <c r="A155" t="inlineStr">
        <is>
          <t>POW-SunSmart LVM12K</t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</row>
    <row r="156">
      <c r="A156" t="inlineStr">
        <is>
          <t>SOLXPOW X3-12K</t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</row>
    <row r="157">
      <c r="A157" t="inlineStr">
        <is>
          <t>SOLXPOW X3-20K</t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</row>
    <row r="158">
      <c r="A158" t="inlineStr">
        <is>
          <t>SOLXPOW X4-50K</t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</row>
    <row r="159">
      <c r="A159" t="inlineStr">
        <is>
          <t>RHI-3K-48ES-5G</t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</row>
    <row r="160">
      <c r="A160" t="inlineStr">
        <is>
          <t>RHI-3.6K-48ES-5G</t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</row>
    <row r="161">
      <c r="A161" t="inlineStr">
        <is>
          <t>RHI-4.6K-48ES-5G</t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</row>
    <row r="162">
      <c r="A162" t="inlineStr">
        <is>
          <t>RHI-5K-48ES-5G</t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</row>
    <row r="163">
      <c r="A163" t="inlineStr">
        <is>
          <t>RHI-6K-48ES-5G</t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</row>
    <row r="164">
      <c r="A164" t="inlineStr">
        <is>
          <t>S5-EH1P3K-L</t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</row>
    <row r="165">
      <c r="A165" t="inlineStr">
        <is>
          <t>S5-EH1P3.6K-L</t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</row>
    <row r="166">
      <c r="A166" t="inlineStr">
        <is>
          <t>S5-EH1P4.6K-L</t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</row>
    <row r="167">
      <c r="A167" t="inlineStr">
        <is>
          <t>S5-EH1P5K-L</t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</row>
    <row r="168">
      <c r="A168" t="inlineStr">
        <is>
          <t>S5-EH1P6K-L</t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</row>
    <row r="169">
      <c r="A169" t="inlineStr">
        <is>
          <t>S6-EH1P3K-L-EU</t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</row>
    <row r="170">
      <c r="A170" t="inlineStr">
        <is>
          <t>S6-EH1P3.6K-L-EU</t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</row>
    <row r="171">
      <c r="A171" t="inlineStr">
        <is>
          <t>S6-EH1P4.6K-L-EU</t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</row>
    <row r="172">
      <c r="A172" t="inlineStr">
        <is>
          <t>S6-EH1P5K-L-EU</t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</row>
    <row r="173">
      <c r="A173" t="inlineStr">
        <is>
          <t>S6-EH1P6K-L-EU</t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</row>
    <row r="174">
      <c r="A174" t="inlineStr">
        <is>
          <t>S6-EH1P8K-L-PRO</t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</row>
    <row r="175">
      <c r="A175" t="inlineStr">
        <is>
          <t>S6-EH1P10K-L-PRO</t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</row>
    <row r="176">
      <c r="A176" t="inlineStr">
        <is>
          <t>S6-EH3P5K-H-EU</t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</row>
    <row r="177">
      <c r="A177" t="inlineStr">
        <is>
          <t>S6-EH3P6K-H-EU</t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</row>
    <row r="178">
      <c r="A178" t="inlineStr">
        <is>
          <t>S6-EH3P8K-H-EU</t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</row>
    <row r="179">
      <c r="A179" t="inlineStr">
        <is>
          <t>S6-EH3P10K-H-EU</t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</row>
    <row r="180">
      <c r="A180" t="inlineStr">
        <is>
          <t>S6-EH3P12K-H-EU</t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</row>
    <row r="181">
      <c r="A181" t="inlineStr">
        <is>
          <t>S6-EH3P15K-H-EU</t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</row>
    <row r="182">
      <c r="A182" t="inlineStr">
        <is>
          <t>S6-EH3P20K-H-EU</t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</row>
    <row r="183">
      <c r="A183" t="inlineStr">
        <is>
          <t>S6-EH3P29.9K-H</t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</row>
    <row r="184">
      <c r="A184" t="inlineStr">
        <is>
          <t>S6-EH3P30K-H</t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</row>
    <row r="185">
      <c r="A185" t="inlineStr">
        <is>
          <t>S6-EH3P40K-H</t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</row>
    <row r="186">
      <c r="A186" t="inlineStr">
        <is>
          <t>S6-EH3P50K-H</t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</row>
  </sheetData>
  <autoFilter ref="A2:I18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Количество крепежа (Mounting quantity)</t>
        </is>
      </c>
      <c r="B1" t="inlineStr" s="1">
        <is>
          <t>Значение (Value)</t>
        </is>
      </c>
      <c r="C1" t="inlineStr" s="1">
        <is>
          <t>Ед. изм. (Unit)</t>
        </is>
      </c>
      <c r="D1" t="inlineStr" s="1">
        <is>
          <t>Формула / смысл (Formula / meaning)</t>
        </is>
      </c>
    </row>
    <row r="2">
      <c r="A2" t="inlineStr">
        <is>
          <t>Тип кровли (Roof type)</t>
        </is>
      </c>
      <c r="B2" s="3">
        <f>Inputs!B11</f>
      </c>
      <c r="C2" t="inlineStr">
        <is>
          <t/>
        </is>
      </c>
      <c r="D2" t="inlineStr">
        <is>
          <t>Из листа Inputs (From Inputs)</t>
        </is>
      </c>
    </row>
    <row r="3">
      <c r="A3" t="inlineStr">
        <is>
          <t>Всего панелей (Total panels)</t>
        </is>
      </c>
      <c r="B3" s="3">
        <f>Inputs!B12</f>
      </c>
      <c r="C3" t="inlineStr">
        <is>
          <t>pcs</t>
        </is>
      </c>
      <c r="D3" t="inlineStr">
        <is>
          <t>Из листа Inputs (From Inputs)</t>
        </is>
      </c>
    </row>
    <row r="4">
      <c r="A4" t="inlineStr">
        <is>
          <t>Панелей в ряду (Panels per row)</t>
        </is>
      </c>
      <c r="B4" s="3">
        <f>Inputs!B13</f>
      </c>
      <c r="C4" t="inlineStr">
        <is>
          <t>pcs</t>
        </is>
      </c>
      <c r="D4" t="inlineStr">
        <is>
          <t>Из листа Inputs (From Inputs)</t>
        </is>
      </c>
    </row>
    <row r="5">
      <c r="A5" t="inlineStr">
        <is>
          <t>Ряды (Rows)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Линии реек (Rail lines)</t>
        </is>
      </c>
      <c r="B6" s="3">
        <f>B5*2</f>
      </c>
      <c r="C6" t="inlineStr">
        <is>
          <t>pcs</t>
        </is>
      </c>
      <c r="D6" t="inlineStr">
        <is>
          <t>Две линии реек на ряд (Two rail lines per row)</t>
        </is>
      </c>
    </row>
    <row r="7">
      <c r="A7" t="inlineStr">
        <is>
          <t>Оценочная длина реек (Estimated rail length)</t>
        </is>
      </c>
      <c r="B7" s="3">
        <f>B3*Inputs!B15*2</f>
      </c>
      <c r="C7" t="inlineStr">
        <is>
          <t>m</t>
        </is>
      </c>
      <c r="D7" t="inlineStr">
        <is>
          <t>Всего панелей x длина рейки на панель x 2 (Total panels x rail length per panel x 2)</t>
        </is>
      </c>
    </row>
    <row r="8">
      <c r="A8" t="inlineStr">
        <is>
          <t>Стыки реек (Rail joints)</t>
        </is>
      </c>
      <c r="B8" s="3">
        <f>MAX(0,ROUNDUP(B7/Inputs!B14,0)-B6)</f>
      </c>
      <c r="C8" t="inlineStr">
        <is>
          <t>pcs</t>
        </is>
      </c>
      <c r="D8" t="inlineStr">
        <is>
          <t>Оценка по длине реек и складской длине (Estimated from rail length and stock length)</t>
        </is>
      </c>
    </row>
    <row r="9">
      <c r="A9" t="inlineStr">
        <is>
          <t>Запас (Reserve)</t>
        </is>
      </c>
      <c r="B9" s="3">
        <f>Inputs!B16</f>
      </c>
      <c r="C9" t="inlineStr">
        <is>
          <t>%</t>
        </is>
      </c>
      <c r="D9" t="inlineStr">
        <is>
          <t>Дополнительный запас количества (Extra quantity reserve)</t>
        </is>
      </c>
    </row>
    <row r="10">
      <c r="A10" t="inlineStr" s="1">
        <is>
          <t>Компонент (Component)</t>
        </is>
      </c>
      <c r="B10" t="inlineStr" s="1">
        <is>
          <t>Количество (Quantity)</t>
        </is>
      </c>
      <c r="C10" t="inlineStr" s="1">
        <is>
          <t>Ед. изм. (Unit)</t>
        </is>
      </c>
      <c r="D10" t="inlineStr" s="1">
        <is>
          <t>Примечания (Notes)</t>
        </is>
      </c>
    </row>
    <row r="11">
      <c r="A11" t="inlineStr">
        <is>
          <t>Крюки / фальцевые зажимы / наземные стойки (Roof hooks / seam clamps / ground posts)</t>
        </is>
      </c>
      <c r="B11" s="3">
        <f>ROUNDUP((SUMIFS(MountingRules!D:D,MountingRules!A:A,B2,MountingRules!B:B,"Roof hook")+SUMIFS(MountingRules!D:D,MountingRules!A:A,B2,MountingRules!B:B,"Mini rail clamp")+SUMIFS(MountingRules!E:E,MountingRules!A:A,B2,MountingRules!B:B,"Ground post"))*B3*(1+B9/100),0)</f>
      </c>
      <c r="C11" t="inlineStr">
        <is>
          <t>pcs</t>
        </is>
      </c>
      <c r="D11" t="inlineStr">
        <is>
          <t>Крюки, фальцевые зажимы или наземные стойки по типу установки (Hooks, seam clamps, or ground posts depending on installation type)</t>
        </is>
      </c>
    </row>
    <row r="12">
      <c r="A12" t="inlineStr">
        <is>
          <t>Мини-рельсы (Mini-rails)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Для кровельных систем с мини-рельсами (Used for mini-rail roof systems)</t>
        </is>
      </c>
    </row>
    <row r="13">
      <c r="A13" t="inlineStr">
        <is>
          <t>Рейки (Rails)</t>
        </is>
      </c>
      <c r="B13" s="3">
        <f>ROUNDUP(B7/Inputs!B12*(1+B9/100),0)</f>
      </c>
      <c r="C13" t="inlineStr">
        <is>
          <t>pcs</t>
        </is>
      </c>
      <c r="D13" t="inlineStr">
        <is>
          <t>Складские отрезки реек (Rail stock pieces)</t>
        </is>
      </c>
    </row>
    <row r="14">
      <c r="A14" t="inlineStr">
        <is>
          <t>Соединители реек (Rail connectors)</t>
        </is>
      </c>
      <c r="B14" s="3">
        <f>ROUNDUP(B8*2*(1+B9/100),0)</f>
      </c>
      <c r="C14" t="inlineStr">
        <is>
          <t>pcs</t>
        </is>
      </c>
      <c r="D14" t="inlineStr">
        <is>
          <t>Обычно два на стык рейки (Usually two per rail joint)</t>
        </is>
      </c>
    </row>
    <row r="15">
      <c r="A15" t="inlineStr">
        <is>
          <t>Крайние прижимы (End clamps)</t>
        </is>
      </c>
      <c r="B15" s="3">
        <f>ROUNDUP(B5*4*(1+B9/100),0)</f>
      </c>
      <c r="C15" t="inlineStr">
        <is>
          <t>pcs</t>
        </is>
      </c>
      <c r="D15" t="inlineStr">
        <is>
          <t>Четыре на ряд (Four per row)</t>
        </is>
      </c>
    </row>
    <row r="16">
      <c r="A16" t="inlineStr">
        <is>
          <t>Средние прижимы (Middle clamps)</t>
        </is>
      </c>
      <c r="B16" s="3">
        <f>ROUNDUP(MAX(0,(B3-B5)*2)*(1+B9/100),0)</f>
      </c>
      <c r="C16" t="inlineStr">
        <is>
          <t>pcs</t>
        </is>
      </c>
      <c r="D16" t="inlineStr">
        <is>
          <t>Два на промежуток между панелями в ряду (Two per gap between panels in a row)</t>
        </is>
      </c>
    </row>
    <row r="17">
      <c r="A17" t="inlineStr">
        <is>
          <t>Комплекты болтов (Bolt sets)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Запас крепежа (Fastener allowance)</t>
        </is>
      </c>
    </row>
    <row r="18">
      <c r="A18" t="inlineStr">
        <is>
          <t>Клипсы заземления (Grounding clips)</t>
        </is>
      </c>
      <c r="B18" s="3">
        <f>ROUNDUP(B3*(1+B9/100),0)</f>
      </c>
      <c r="C18" t="inlineStr">
        <is>
          <t>pcs</t>
        </is>
      </c>
      <c r="D18" t="inlineStr">
        <is>
          <t>Стартово один на панель (One per panel starter assumption)</t>
        </is>
      </c>
    </row>
    <row r="19">
      <c r="A19" t="inlineStr">
        <is>
          <t>Кабельные клипсы (Cable clips)</t>
        </is>
      </c>
      <c r="B19" s="3">
        <f>ROUNDUP(B3*2*(1+B9/100),0)</f>
      </c>
      <c r="C19" t="inlineStr">
        <is>
          <t>pcs</t>
        </is>
      </c>
      <c r="D19" t="inlineStr">
        <is>
          <t>Стартово два на панель (Two per panel starter assumption)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Показатель (Item)</t>
        </is>
      </c>
      <c r="C1" t="inlineStr" s="1">
        <is>
          <t>Количество (Quantity)</t>
        </is>
      </c>
      <c r="D1" t="inlineStr" s="1">
        <is>
          <t>Ед. изм. (Unit)</t>
        </is>
      </c>
      <c r="E1" t="inlineStr" s="1">
        <is>
          <t>Примечания (Notes)</t>
        </is>
      </c>
    </row>
    <row r="2">
      <c r="A2" t="inlineStr">
        <is>
          <t>Инвертор (Inverter)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Выбранный инвертор (Selected inverter)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АКБ (Battery)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Крюки / фальцевые зажимы / наземные стойки (Roof hooks / seam clamps / ground posts)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Мини-рельсы (Mini-rails)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Рейки (Rails)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Соединители реек (Rail connectors)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Крайние прижимы (End clamps)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Средние прижимы (Middle clamps)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Комплекты болтов (Bolt sets)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Клипсы заземления (Grounding clips)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Кабельные клипсы (Cable clips)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Sizing</t>
        </is>
      </c>
      <c r="B26" t="inlineStr">
        <is>
          <t>Recommended DC cable section</t>
        </is>
      </c>
      <c r="C26" s="3">
        <f>CableProtection!B15</f>
      </c>
      <c r="D26" t="inlineStr">
        <is>
          <t>mm2</t>
        </is>
      </c>
      <c r="E26" t="inlineStr">
        <is>
          <t>Starter sizing; verify installation method</t>
        </is>
      </c>
    </row>
    <row r="27">
      <c r="A27" t="inlineStr">
        <is>
          <t>Sizing</t>
        </is>
      </c>
      <c r="B27" t="inlineStr">
        <is>
          <t>DC voltage drop</t>
        </is>
      </c>
      <c r="C27" s="3">
        <f>CableProtection!B16</f>
      </c>
      <c r="D27" t="inlineStr">
        <is>
          <t>%</t>
        </is>
      </c>
      <c r="E27" t="inlineStr">
        <is>
          <t>Starter voltage-drop estimate</t>
        </is>
      </c>
    </row>
    <row r="28">
      <c r="A28" t="inlineStr">
        <is>
          <t>Sizing</t>
        </is>
      </c>
      <c r="B28" t="inlineStr">
        <is>
          <t>Recommended AC cable section</t>
        </is>
      </c>
      <c r="C28" s="3">
        <f>CableProtection!B19</f>
      </c>
      <c r="D28" t="inlineStr">
        <is>
          <t>mm2</t>
        </is>
      </c>
      <c r="E28" t="inlineStr">
        <is>
          <t>Starter sizing; verify installation method</t>
        </is>
      </c>
    </row>
    <row r="29">
      <c r="A29" t="inlineStr">
        <is>
          <t>Sizing</t>
        </is>
      </c>
      <c r="B29" t="inlineStr">
        <is>
          <t>AC voltage drop</t>
        </is>
      </c>
      <c r="C29" s="3">
        <f>CableProtection!B20</f>
      </c>
      <c r="D29" t="inlineStr">
        <is>
          <t>%</t>
        </is>
      </c>
      <c r="E29" t="inlineStr">
        <is>
          <t>Starter voltage-drop estimate</t>
        </is>
      </c>
    </row>
    <row r="30">
      <c r="A30" t="inlineStr">
        <is>
          <t>Sizing</t>
        </is>
      </c>
      <c r="B30" t="inlineStr">
        <is>
          <t>Recommended battery cable section</t>
        </is>
      </c>
      <c r="C30" s="3">
        <f>CableProtection!B24</f>
      </c>
      <c r="D30" t="inlineStr">
        <is>
          <t>mm2</t>
        </is>
      </c>
      <c r="E30" t="inlineStr">
        <is>
          <t>Starter sizing; verify installation method</t>
        </is>
      </c>
    </row>
    <row r="31">
      <c r="A31" t="inlineStr">
        <is>
          <t>Sizing</t>
        </is>
      </c>
      <c r="B31" t="inlineStr">
        <is>
          <t>Estimated battery current</t>
        </is>
      </c>
      <c r="C31" s="3">
        <f>CableProtection!B23</f>
      </c>
      <c r="D31" t="inlineStr">
        <is>
          <t>A</t>
        </is>
      </c>
      <c r="E31" t="inlineStr">
        <is>
          <t>Inverter power / battery voltage</t>
        </is>
      </c>
    </row>
    <row r="32">
      <c r="A32" t="inlineStr">
        <is>
          <t>Sizing</t>
        </is>
      </c>
      <c r="B32" t="inlineStr">
        <is>
          <t>Коэффициент снижения нагрузки кабеля (Cable derating factor)</t>
        </is>
      </c>
      <c r="C32" s="3">
        <f>CableProtection!B30</f>
      </c>
      <c r="D32" t="inlineStr">
        <is>
          <t>factor</t>
        </is>
      </c>
      <c r="E32" t="inlineStr">
        <is>
          <t>Grouping x ambient derating</t>
        </is>
      </c>
    </row>
    <row r="33">
      <c r="A33" t="inlineStr">
        <is>
          <t>Protection</t>
        </is>
      </c>
      <c r="B33" t="inlineStr">
        <is>
          <t>Recommended SPD type</t>
        </is>
      </c>
      <c r="C33" s="3">
        <f>CableProtection!B28</f>
      </c>
      <c r="D33" t="inlineStr">
        <is>
          <t/>
        </is>
      </c>
      <c r="E33" t="inlineStr">
        <is>
          <t>Starter selection; verify local standards</t>
        </is>
      </c>
    </row>
    <row r="34">
      <c r="A34" t="inlineStr">
        <is>
          <t>Protection</t>
        </is>
      </c>
      <c r="B34" t="inlineStr">
        <is>
          <t>Система заземления AC (AC earthing system)</t>
        </is>
      </c>
      <c r="C34" s="3">
        <f>CableProtection!B29</f>
      </c>
      <c r="D34" t="inlineStr">
        <is>
          <t/>
        </is>
      </c>
      <c r="E34" t="inlineStr">
        <is>
          <t>Selected earthing checklist</t>
        </is>
      </c>
    </row>
    <row r="35">
      <c r="A35" t="inlineStr">
        <is>
          <t>Documentation</t>
        </is>
      </c>
      <c r="B35" t="inlineStr">
        <is>
          <t>Datasheet verification</t>
        </is>
      </c>
      <c r="C35">
        <v>1</v>
      </c>
      <c r="D35" t="inlineStr">
        <is>
          <t>task</t>
        </is>
      </c>
      <c r="E35" t="inlineStr">
        <is>
          <t>Required before commercial use</t>
        </is>
      </c>
    </row>
  </sheetData>
  <autoFilter ref="A1:E3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Количество (Quantity)</t>
        </is>
      </c>
      <c r="C1" t="inlineStr" s="1">
        <is>
          <t>Ед. изм. (Unit)</t>
        </is>
      </c>
      <c r="D1" t="inlineStr" s="1">
        <is>
          <t>Формула / смысл (Formula / meaning)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Длина DC кабеля (DC cable route length)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Длина DC кабеля (DC cable route length)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Длина AC кабеля (AC cable route length)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  <row r="14"/>
    <row r="15">
      <c r="A15" t="inlineStr">
        <is>
          <t>Sizing result</t>
        </is>
      </c>
      <c r="B15" s="3">
        <f>MAX(4,LOOKUP((Results!B12*Inputs!B8)/B30,CableSizing!B:B,CableSizing!A:A))</f>
      </c>
      <c r="C15" t="inlineStr">
        <is>
          <t>Ед. изм. (Unit)</t>
        </is>
      </c>
      <c r="D15" t="inlineStr">
        <is>
          <t>Формула / смысл (Formula / meaning)</t>
        </is>
      </c>
    </row>
    <row r="16">
      <c r="A16" t="inlineStr">
        <is>
          <t>Recommended DC cable section</t>
        </is>
      </c>
      <c r="B16" s="3">
        <f>ROUND(2*Inputs!B17*Results!B12*Inputs!B8*0.0175/(B15*Results!B17)*100,2)</f>
      </c>
      <c r="C16" t="inlineStr">
        <is>
          <t>mm2</t>
        </is>
      </c>
      <c r="D16" t="inlineStr">
        <is>
          <t>Based on PV operating current</t>
        </is>
      </c>
    </row>
    <row r="17">
      <c r="A17" t="inlineStr">
        <is>
          <t>DC voltage drop</t>
        </is>
      </c>
      <c r="B17" s="3">
        <f>LOOKUP(INDEX(Panels!H:H,MATCH(Inputs!B4,Panels!C:C,0))*1.25,{0,16,20,25,32},{16,20,25,32,40})</f>
      </c>
      <c r="C17" t="inlineStr">
        <is>
          <t>%</t>
        </is>
      </c>
      <c r="D17" t="inlineStr">
        <is>
          <t>2 x length x current x copper resistance / section / voltage</t>
        </is>
      </c>
    </row>
    <row r="18">
      <c r="A18" t="inlineStr">
        <is>
          <t>Suggested DC fuse rating</t>
        </is>
      </c>
      <c r="B18" s="3">
        <f>ROUND(INDEX(Inverters!E:E,MATCH(Inputs!B3,Inverters!C:C,0))/IF(INDEX(Inverters!D:D,MATCH(Inputs!B3,Inverters!C:C,0))="three-phase",692.8,230),1)</f>
      </c>
      <c r="C18" t="inlineStr">
        <is>
          <t>A</t>
        </is>
      </c>
      <c r="D18" t="inlineStr">
        <is>
          <t>Based on string short-circuit current</t>
        </is>
      </c>
    </row>
    <row r="19">
      <c r="A19" t="inlineStr">
        <is>
          <t>Estimated AC current</t>
        </is>
      </c>
      <c r="B19" s="3">
        <f>MAX(2.5,LOOKUP(B18/B30,CableSizing!B:B,CableSizing!A:A))</f>
      </c>
      <c r="C19" t="inlineStr">
        <is>
          <t>A</t>
        </is>
      </c>
      <c r="D19" t="inlineStr">
        <is>
          <t>Based on inverter AC power and phase</t>
        </is>
      </c>
    </row>
    <row r="20">
      <c r="A20" t="inlineStr">
        <is>
          <t>Recommended AC cable section</t>
        </is>
      </c>
      <c r="B20" s="3">
        <f>ROUND(IF(INDEX(Inverters!D:D,MATCH(Inputs!B3,Inverters!C:C,0))="three-phase",1.732*Inputs!B18*B18*0.0175/(B19*400)*100,2*Inputs!B18*B18*0.0175/(B19*230)*100),2)</f>
      </c>
      <c r="C20" t="inlineStr">
        <is>
          <t>mm2</t>
        </is>
      </c>
      <c r="D20" t="inlineStr">
        <is>
          <t>Based on estimated AC current</t>
        </is>
      </c>
    </row>
    <row r="21">
      <c r="A21" t="inlineStr">
        <is>
          <t>AC voltage drop</t>
        </is>
      </c>
      <c r="B21" s="3">
        <f>LOOKUP(B18*1.25,{0,16,20,25,32,40,50,63,80,100,125,160},{16,20,25,32,40,50,63,80,100,125,160,200})</f>
      </c>
      <c r="C21" t="inlineStr">
        <is>
          <t>%</t>
        </is>
      </c>
      <c r="D21" t="inlineStr">
        <is>
          <t>Starter single/three-phase voltage-drop estimate</t>
        </is>
      </c>
    </row>
    <row r="22">
      <c r="A22" t="inlineStr">
        <is>
          <t>Suggested AC breaker rating</t>
        </is>
      </c>
      <c r="B22" t="inlineStr" s="3">
        <is>
          <t/>
        </is>
      </c>
      <c r="C22" t="inlineStr">
        <is>
          <t>A</t>
        </is>
      </c>
      <c r="D22" t="inlineStr">
        <is>
          <t>Next common rating above AC current</t>
        </is>
      </c>
    </row>
    <row r="23">
      <c r="A23" t="inlineStr">
        <is>
          <t>Estimated battery current</t>
        </is>
      </c>
      <c r="B23" s="3">
        <f>ROUND(INDEX(Inverters!E:E,MATCH(Inputs!B3,Inverters!C:C,0))/INDEX(Batteries!G:G,MATCH(Inputs!B9,Batteries!C:C,0)),1)</f>
      </c>
      <c r="C23" t="inlineStr">
        <is>
          <t>A</t>
        </is>
      </c>
      <c r="D23" t="inlineStr">
        <is>
          <t>AC power / battery nominal voltage</t>
        </is>
      </c>
    </row>
    <row r="24">
      <c r="A24" t="inlineStr">
        <is>
          <t>Recommended battery cable section</t>
        </is>
      </c>
      <c r="B24" s="3">
        <f>MAX(16,LOOKUP(B23/B30,CableSizing!B:B,CableSizing!A:A))</f>
      </c>
      <c r="C24" t="inlineStr">
        <is>
          <t>mm2</t>
        </is>
      </c>
      <c r="D24" t="inlineStr">
        <is>
          <t>Based on estimated battery current</t>
        </is>
      </c>
    </row>
    <row r="25">
      <c r="A25" t="inlineStr">
        <is>
          <t>Suggested battery breaker rating</t>
        </is>
      </c>
      <c r="B25" s="3">
        <f>LOOKUP(B23*1.25,{0,63,80,100,125,160,200,250},{63,80,100,125,160,200,250,315})</f>
      </c>
      <c r="C25" t="inlineStr">
        <is>
          <t>A</t>
        </is>
      </c>
      <c r="D25" t="inlineStr">
        <is>
          <t>Next common rating above battery current</t>
        </is>
      </c>
    </row>
    <row r="26">
      <c r="A26" t="inlineStr">
        <is>
          <t>Sizing status</t>
        </is>
      </c>
      <c r="B26" s="3">
        <f>"VERIFY"</f>
      </c>
      <c r="C26" t="inlineStr">
        <is>
          <t/>
        </is>
      </c>
      <c r="D26" t="inlineStr">
        <is>
          <t>VERIFY until local standards and datasheets are checked</t>
        </is>
      </c>
    </row>
    <row r="27"/>
    <row r="28">
      <c r="A28" t="inlineStr">
        <is>
          <t>Advanced protection result</t>
        </is>
      </c>
      <c r="B28" s="3">
        <f>IF(Inputs!B23="External LPS","Type 1+2 DC/AC SPD",IF(Inputs!B23="Overhead supply","Type 1+2 AC SPD + Type 2 DC SPD",IF(Inputs!B23="Long outdoor DC route","Type 2 DC SPD near inverter and array","Type 2 DC/AC SPD")))</f>
      </c>
      <c r="C28" t="inlineStr">
        <is>
          <t>Ед. изм. (Unit)</t>
        </is>
      </c>
      <c r="D28" t="inlineStr">
        <is>
          <t>Формула / смысл (Formula / meaning)</t>
        </is>
      </c>
    </row>
    <row r="29">
      <c r="A29" t="inlineStr">
        <is>
          <t>Recommended SPD type</t>
        </is>
      </c>
      <c r="B29" s="3">
        <f>Inputs!B24</f>
      </c>
      <c r="C29" t="inlineStr">
        <is>
          <t/>
        </is>
      </c>
      <c r="D29" t="inlineStr">
        <is>
          <t>Based on selected lightning protection condition</t>
        </is>
      </c>
    </row>
    <row r="30">
      <c r="A30" t="inlineStr">
        <is>
          <t>Система заземления AC (AC earthing system)</t>
        </is>
      </c>
      <c r="B30" s="3">
        <f>MAX(0.1,Inputs!B21*Inputs!B22)</f>
      </c>
      <c r="C30" t="inlineStr">
        <is>
          <t/>
        </is>
      </c>
      <c r="D30" t="inlineStr">
        <is>
          <t>Selected earthing system checklist</t>
        </is>
      </c>
    </row>
    <row r="31">
      <c r="A31" t="inlineStr">
        <is>
          <t>Combined cable derating factor</t>
        </is>
      </c>
      <c r="B31" s="3">
        <f>INDEX(CableSizing!B:B,MATCH(B15,CableSizing!A:A,0))*B30</f>
      </c>
      <c r="C31" t="inlineStr">
        <is>
          <t>factor</t>
        </is>
      </c>
      <c r="D31" t="inlineStr">
        <is>
          <t>Grouping derating x ambient derating</t>
        </is>
      </c>
    </row>
    <row r="32">
      <c r="A32" t="inlineStr">
        <is>
          <t>Derated DC cable ampacity</t>
        </is>
      </c>
      <c r="B32" s="3">
        <f>"VERIFY"</f>
      </c>
      <c r="C32" t="inlineStr">
        <is>
          <t>A</t>
        </is>
      </c>
      <c r="D32" t="inlineStr">
        <is>
          <t>Selected DC cable ampacity after derating</t>
        </is>
      </c>
    </row>
    <row r="33">
      <c r="A33" t="inlineStr">
        <is>
          <t>Advanced protection status</t>
        </is>
      </c>
      <c r="B33" t="inlineStr">
        <is>
          <t/>
        </is>
      </c>
      <c r="C33" t="inlineStr">
        <is>
          <t/>
        </is>
      </c>
      <c r="D33" t="inlineStr">
        <is>
          <t>VERIFY until local standards are checked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8" customWidth="1"/>
    <col min="3" max="3" width="24" customWidth="1"/>
    <col min="4" max="4" width="22" customWidth="1"/>
    <col min="5" max="5" width="14" customWidth="1"/>
    <col min="6" max="6" width="14" customWidth="1"/>
    <col min="7" max="7" width="16" customWidth="1"/>
    <col min="8" max="8" width="16" customWidth="1"/>
    <col min="9" max="9" width="14" customWidth="1"/>
    <col min="10" max="10" width="14" customWidth="1"/>
    <col min="11" max="11" width="14" customWidth="1"/>
    <col min="12" max="12" width="14" customWidth="1"/>
    <col min="13" max="13" width="68" customWidth="1"/>
  </cols>
  <sheetData>
    <row r="1">
      <c r="A1" t="inlineStr" s="1">
        <is>
          <t>Scenario</t>
        </is>
      </c>
      <c r="B1" t="inlineStr" s="1">
        <is>
          <t>Инвертор (Inverter)</t>
        </is>
      </c>
      <c r="C1" t="inlineStr" s="1">
        <is>
          <t>Панель (Panel)</t>
        </is>
      </c>
      <c r="D1" t="inlineStr" s="1">
        <is>
          <t>АКБ (Battery)</t>
        </is>
      </c>
      <c r="E1" t="inlineStr" s="1">
        <is>
          <t>Panels/string</t>
        </is>
      </c>
      <c r="F1" t="inlineStr" s="1">
        <is>
          <t>Strings/MPPT</t>
        </is>
      </c>
      <c r="G1" t="inlineStr" s="1">
        <is>
          <t>Cold string Voc</t>
        </is>
      </c>
      <c r="H1" t="inlineStr" s="1">
        <is>
          <t>Hot string Vmp</t>
        </is>
      </c>
      <c r="I1" t="inlineStr" s="1">
        <is>
          <t>PV voltage</t>
        </is>
      </c>
      <c r="J1" t="inlineStr" s="1">
        <is>
          <t>PV current</t>
        </is>
      </c>
      <c r="K1" t="inlineStr" s="1">
        <is>
          <t>АКБ (Battery)</t>
        </is>
      </c>
      <c r="L1" t="inlineStr" s="1">
        <is>
          <t>Overall</t>
        </is>
      </c>
      <c r="M1" t="inlineStr" s="1">
        <is>
          <t>Примечания (Notes)</t>
        </is>
      </c>
    </row>
    <row r="2">
      <c r="A2" t="inlineStr">
        <is>
          <t>Residential 5kW Deye</t>
        </is>
      </c>
      <c r="B2" t="inlineStr">
        <is>
          <t>SUN-5K-SG03LP1-EU</t>
        </is>
      </c>
      <c r="C2" t="inlineStr">
        <is>
          <t>JKM575N-72HL4-V</t>
        </is>
      </c>
      <c r="D2" t="inlineStr">
        <is>
          <t>US5000</t>
        </is>
      </c>
      <c r="E2">
        <v>8</v>
      </c>
      <c r="F2">
        <v>1</v>
      </c>
      <c r="G2" s="3">
        <f>ROUND(INDEX(Panels!G:G,MATCH(C2,Panels!C:C,0))*(1+(INDEX(Panels!J:J,MATCH(C2,Panels!C:C,0))/100)*(Inputs!B5-25))*E2,1)</f>
      </c>
      <c r="H2" s="3">
        <f>ROUND(INDEX(Panels!E:E,MATCH(C2,Panels!C:C,0))*(1+(INDEX(Panels!J:J,MATCH(C2,Panels!C:C,0))/100)*(Inputs!B6-25))*E2,1)</f>
      </c>
      <c r="I2" s="3">
        <f>IF(OR(INDEX(Inverters!Q:Q,MATCH(B2,Inverters!C:C,0))="model_only_needs_datasheet",INDEX(Panels!O:O,MATCH(C2,Panels!C:C,0))="model_only_needs_datasheet"),"VERIFY",IF(AND(G2&lt;INDEX(Inverters!G:G,MATCH(B2,Inverters!C:C,0)),H2&gt;=INDEX(Inverters!I:I,MATCH(B2,Inverters!C:C,0)),H2&lt;=INDEX(Inverters!J:J,MATCH(B2,Inverters!C:C,0))),"PASS","FAIL"))</f>
      </c>
      <c r="J2" s="3">
        <f>IF(OR(INDEX(Inverters!Q:Q,MATCH(B2,Inverters!C:C,0))="model_only_needs_datasheet",INDEX(Panels!O:O,MATCH(C2,Panels!C:C,0))="model_only_needs_datasheet"),"VERIFY",IF(INDEX(Panels!F:F,MATCH(C2,Panels!C:C,0))*F2&lt;=INDEX(Inverters!M:M,MATCH(B2,Inverters!C:C,0)),"PASS","FAIL"))</f>
      </c>
      <c r="K2" s="3">
        <f>IF(ISNUMBER(SEARCH("Deye",INDEX(Batteries!M:M,MATCH(D2,Batteries!C:C,0)))),"PASS","VERIFY")</f>
      </c>
      <c r="L2" s="3">
        <f>IF(OR(I2="FAIL",J2="FAIL"),"FAIL",IF(OR(I2="VERIFY",J2="VERIFY",K2="VERIFY",INDEX(Inverters!Q:Q,MATCH(B2,Inverters!C:C,0))="model_only_needs_datasheet",INDEX(Panels!O:O,MATCH(C2,Panels!C:C,0))="model_only_needs_datasheet",INDEX(Batteries!N:N,MATCH(D2,Batteries!C:C,0))="model_only_needs_datasheet"),"VERIFY","PASS"))</f>
      </c>
      <c r="M2" t="inlineStr">
        <is>
          <t>Starter Deye LV scenario.</t>
        </is>
      </c>
    </row>
    <row r="3">
      <c r="A3" t="inlineStr">
        <is>
          <t>Residential 8kW Deye</t>
        </is>
      </c>
      <c r="B3" t="inlineStr">
        <is>
          <t>SUN-8K-SG01LP1-EU</t>
        </is>
      </c>
      <c r="C3" t="inlineStr">
        <is>
          <t>JKM575N-72HL4-V</t>
        </is>
      </c>
      <c r="D3" t="inlineStr">
        <is>
          <t>US5000</t>
        </is>
      </c>
      <c r="E3">
        <v>8</v>
      </c>
      <c r="F3">
        <v>2</v>
      </c>
      <c r="G3" s="3">
        <f>ROUND(INDEX(Panels!G:G,MATCH(C3,Panels!C:C,0))*(1+(INDEX(Panels!J:J,MATCH(C3,Panels!C:C,0))/100)*(Inputs!B5-25))*E3,1)</f>
      </c>
      <c r="H3" s="3">
        <f>ROUND(INDEX(Panels!E:E,MATCH(C3,Panels!C:C,0))*(1+(INDEX(Panels!J:J,MATCH(C3,Panels!C:C,0))/100)*(Inputs!B6-25))*E3,1)</f>
      </c>
      <c r="I3" s="3">
        <f>IF(OR(INDEX(Inverters!Q:Q,MATCH(B3,Inverters!C:C,0))="model_only_needs_datasheet",INDEX(Panels!O:O,MATCH(C3,Panels!C:C,0))="model_only_needs_datasheet"),"VERIFY",IF(AND(G3&lt;INDEX(Inverters!G:G,MATCH(B3,Inverters!C:C,0)),H3&gt;=INDEX(Inverters!I:I,MATCH(B3,Inverters!C:C,0)),H3&lt;=INDEX(Inverters!J:J,MATCH(B3,Inverters!C:C,0))),"PASS","FAIL"))</f>
      </c>
      <c r="J3" s="3">
        <f>IF(OR(INDEX(Inverters!Q:Q,MATCH(B3,Inverters!C:C,0))="model_only_needs_datasheet",INDEX(Panels!O:O,MATCH(C3,Panels!C:C,0))="model_only_needs_datasheet"),"VERIFY",IF(INDEX(Panels!F:F,MATCH(C3,Panels!C:C,0))*F3&lt;=INDEX(Inverters!M:M,MATCH(B3,Inverters!C:C,0)),"PASS","FAIL"))</f>
      </c>
      <c r="K3" s="3">
        <f>IF(ISNUMBER(SEARCH("Deye",INDEX(Batteries!M:M,MATCH(D3,Batteries!C:C,0)))),"PASS","VERIFY")</f>
      </c>
      <c r="L3" s="3">
        <f>IF(OR(I3="FAIL",J3="FAIL"),"FAIL",IF(OR(I3="VERIFY",J3="VERIFY",K3="VERIFY",INDEX(Inverters!Q:Q,MATCH(B3,Inverters!C:C,0))="model_only_needs_datasheet",INDEX(Panels!O:O,MATCH(C3,Panels!C:C,0))="model_only_needs_datasheet",INDEX(Batteries!N:N,MATCH(D3,Batteries!C:C,0))="model_only_needs_datasheet"),"VERIFY","PASS"))</f>
      </c>
      <c r="M3" t="inlineStr">
        <is>
          <t>Starter two-string Deye LV scenario.</t>
        </is>
      </c>
    </row>
    <row r="4">
      <c r="A4" t="inlineStr">
        <is>
          <t>Residential 6kW Deye</t>
        </is>
      </c>
      <c r="B4" t="inlineStr">
        <is>
          <t>SUN-6K-SG03LP1-EU</t>
        </is>
      </c>
      <c r="C4" t="inlineStr">
        <is>
          <t>LR5-72HTH-580M</t>
        </is>
      </c>
      <c r="D4" t="inlineStr">
        <is>
          <t>BX51100</t>
        </is>
      </c>
      <c r="E4">
        <v>8</v>
      </c>
      <c r="F4">
        <v>1</v>
      </c>
      <c r="G4" s="3">
        <f>ROUND(INDEX(Panels!G:G,MATCH(C4,Panels!C:C,0))*(1+(INDEX(Panels!J:J,MATCH(C4,Panels!C:C,0))/100)*(Inputs!B5-25))*E4,1)</f>
      </c>
      <c r="H4" s="3">
        <f>ROUND(INDEX(Panels!E:E,MATCH(C4,Panels!C:C,0))*(1+(INDEX(Panels!J:J,MATCH(C4,Panels!C:C,0))/100)*(Inputs!B6-25))*E4,1)</f>
      </c>
      <c r="I4" s="3">
        <f>IF(OR(INDEX(Inverters!Q:Q,MATCH(B4,Inverters!C:C,0))="model_only_needs_datasheet",INDEX(Panels!O:O,MATCH(C4,Panels!C:C,0))="model_only_needs_datasheet"),"VERIFY",IF(AND(G4&lt;INDEX(Inverters!G:G,MATCH(B4,Inverters!C:C,0)),H4&gt;=INDEX(Inverters!I:I,MATCH(B4,Inverters!C:C,0)),H4&lt;=INDEX(Inverters!J:J,MATCH(B4,Inverters!C:C,0))),"PASS","FAIL"))</f>
      </c>
      <c r="J4" s="3">
        <f>IF(OR(INDEX(Inverters!Q:Q,MATCH(B4,Inverters!C:C,0))="model_only_needs_datasheet",INDEX(Panels!O:O,MATCH(C4,Panels!C:C,0))="model_only_needs_datasheet"),"VERIFY",IF(INDEX(Panels!F:F,MATCH(C4,Panels!C:C,0))*F4&lt;=INDEX(Inverters!M:M,MATCH(B4,Inverters!C:C,0)),"PASS","FAIL"))</f>
      </c>
      <c r="K4" s="3">
        <f>IF(ISNUMBER(SEARCH("Deye",INDEX(Batteries!M:M,MATCH(D4,Batteries!C:C,0)))),"PASS","VERIFY")</f>
      </c>
      <c r="L4" s="3">
        <f>IF(OR(I4="FAIL",J4="FAIL"),"FAIL",IF(OR(I4="VERIFY",J4="VERIFY",K4="VERIFY",INDEX(Inverters!Q:Q,MATCH(B4,Inverters!C:C,0))="model_only_needs_datasheet",INDEX(Panels!O:O,MATCH(C4,Panels!C:C,0))="model_only_needs_datasheet",INDEX(Batteries!N:N,MATCH(D4,Batteries!C:C,0))="model_only_needs_datasheet"),"VERIFY","PASS"))</f>
      </c>
      <c r="M4" t="inlineStr">
        <is>
          <t>Starter LONGi plus Dyness scenario.</t>
        </is>
      </c>
    </row>
    <row r="5">
      <c r="A5" t="inlineStr">
        <is>
          <t>Commercial 10kW Deye</t>
        </is>
      </c>
      <c r="B5" t="inlineStr">
        <is>
          <t>SUN-10K-SG02LP1-EU-AM3-P</t>
        </is>
      </c>
      <c r="C5" t="inlineStr">
        <is>
          <t>TSM-NEG18R.28-500</t>
        </is>
      </c>
      <c r="D5" t="inlineStr">
        <is>
          <t>SE-G5.1</t>
        </is>
      </c>
      <c r="E5">
        <v>8</v>
      </c>
      <c r="F5">
        <v>1</v>
      </c>
      <c r="G5" s="3">
        <f>ROUND(INDEX(Panels!G:G,MATCH(C5,Panels!C:C,0))*(1+(INDEX(Panels!J:J,MATCH(C5,Panels!C:C,0))/100)*(Inputs!B5-25))*E5,1)</f>
      </c>
      <c r="H5" s="3">
        <f>ROUND(INDEX(Panels!E:E,MATCH(C5,Panels!C:C,0))*(1+(INDEX(Panels!J:J,MATCH(C5,Panels!C:C,0))/100)*(Inputs!B6-25))*E5,1)</f>
      </c>
      <c r="I5" s="3">
        <f>IF(OR(INDEX(Inverters!Q:Q,MATCH(B5,Inverters!C:C,0))="model_only_needs_datasheet",INDEX(Panels!O:O,MATCH(C5,Panels!C:C,0))="model_only_needs_datasheet"),"VERIFY",IF(AND(G5&lt;INDEX(Inverters!G:G,MATCH(B5,Inverters!C:C,0)),H5&gt;=INDEX(Inverters!I:I,MATCH(B5,Inverters!C:C,0)),H5&lt;=INDEX(Inverters!J:J,MATCH(B5,Inverters!C:C,0))),"PASS","FAIL"))</f>
      </c>
      <c r="J5" s="3">
        <f>IF(OR(INDEX(Inverters!Q:Q,MATCH(B5,Inverters!C:C,0))="model_only_needs_datasheet",INDEX(Panels!O:O,MATCH(C5,Panels!C:C,0))="model_only_needs_datasheet"),"VERIFY",IF(INDEX(Panels!F:F,MATCH(C5,Panels!C:C,0))*F5&lt;=INDEX(Inverters!M:M,MATCH(B5,Inverters!C:C,0)),"PASS","FAIL"))</f>
      </c>
      <c r="K5" s="3">
        <f>IF(ISNUMBER(SEARCH("Deye",INDEX(Batteries!M:M,MATCH(D5,Batteries!C:C,0)))),"PASS","VERIFY")</f>
      </c>
      <c r="L5" s="3">
        <f>IF(OR(I5="FAIL",J5="FAIL"),"FAIL",IF(OR(I5="VERIFY",J5="VERIFY",K5="VERIFY",INDEX(Inverters!Q:Q,MATCH(B5,Inverters!C:C,0))="model_only_needs_datasheet",INDEX(Panels!O:O,MATCH(C5,Panels!C:C,0))="model_only_needs_datasheet",INDEX(Batteries!N:N,MATCH(D5,Batteries!C:C,0))="model_only_needs_datasheet"),"VERIFY","PASS"))</f>
      </c>
      <c r="M5" t="inlineStr">
        <is>
          <t>Model-only scenario; datasheet values pending.</t>
        </is>
      </c>
    </row>
    <row r="6">
      <c r="A6" t="inlineStr">
        <is>
          <t>Hybrid 12kW Deye</t>
        </is>
      </c>
      <c r="B6" t="inlineStr">
        <is>
          <t>SUN-12K-SG02LP1-EU-AM3-P</t>
        </is>
      </c>
      <c r="C6" t="inlineStr">
        <is>
          <t>JAM54D40-440/LB</t>
        </is>
      </c>
      <c r="D6" t="inlineStr">
        <is>
          <t>SE-G5.1</t>
        </is>
      </c>
      <c r="E6">
        <v>8</v>
      </c>
      <c r="F6">
        <v>1</v>
      </c>
      <c r="G6" s="3">
        <f>ROUND(INDEX(Panels!G:G,MATCH(C6,Panels!C:C,0))*(1+(INDEX(Panels!J:J,MATCH(C6,Panels!C:C,0))/100)*(Inputs!B5-25))*E6,1)</f>
      </c>
      <c r="H6" s="3">
        <f>ROUND(INDEX(Panels!E:E,MATCH(C6,Panels!C:C,0))*(1+(INDEX(Panels!J:J,MATCH(C6,Panels!C:C,0))/100)*(Inputs!B6-25))*E6,1)</f>
      </c>
      <c r="I6" s="3">
        <f>IF(OR(INDEX(Inverters!Q:Q,MATCH(B6,Inverters!C:C,0))="model_only_needs_datasheet",INDEX(Panels!O:O,MATCH(C6,Panels!C:C,0))="model_only_needs_datasheet"),"VERIFY",IF(AND(G6&lt;INDEX(Inverters!G:G,MATCH(B6,Inverters!C:C,0)),H6&gt;=INDEX(Inverters!I:I,MATCH(B6,Inverters!C:C,0)),H6&lt;=INDEX(Inverters!J:J,MATCH(B6,Inverters!C:C,0))),"PASS","FAIL"))</f>
      </c>
      <c r="J6" s="3">
        <f>IF(OR(INDEX(Inverters!Q:Q,MATCH(B6,Inverters!C:C,0))="model_only_needs_datasheet",INDEX(Panels!O:O,MATCH(C6,Panels!C:C,0))="model_only_needs_datasheet"),"VERIFY",IF(INDEX(Panels!F:F,MATCH(C6,Panels!C:C,0))*F6&lt;=INDEX(Inverters!M:M,MATCH(B6,Inverters!C:C,0)),"PASS","FAIL"))</f>
      </c>
      <c r="K6" s="3">
        <f>IF(ISNUMBER(SEARCH("Deye",INDEX(Batteries!M:M,MATCH(D6,Batteries!C:C,0)))),"PASS","VERIFY")</f>
      </c>
      <c r="L6" s="3">
        <f>IF(OR(I6="FAIL",J6="FAIL"),"FAIL",IF(OR(I6="VERIFY",J6="VERIFY",K6="VERIFY",INDEX(Inverters!Q:Q,MATCH(B6,Inverters!C:C,0))="model_only_needs_datasheet",INDEX(Panels!O:O,MATCH(C6,Panels!C:C,0))="model_only_needs_datasheet",INDEX(Batteries!N:N,MATCH(D6,Batteries!C:C,0))="model_only_needs_datasheet"),"VERIFY","PASS"))</f>
      </c>
      <c r="M6" t="inlineStr">
        <is>
          <t>Model-only scenario; datasheet values pending.</t>
        </is>
      </c>
    </row>
    <row r="7">
      <c r="A7" t="inlineStr">
        <is>
          <t>Growatt hybrid</t>
        </is>
      </c>
      <c r="B7" t="inlineStr">
        <is>
          <t>SPH 10000TL3 BH-UP</t>
        </is>
      </c>
      <c r="C7" t="inlineStr">
        <is>
          <t>JKM575N-72HL4-V</t>
        </is>
      </c>
      <c r="D7" t="inlineStr">
        <is>
          <t>US5000</t>
        </is>
      </c>
      <c r="E7">
        <v>8</v>
      </c>
      <c r="F7">
        <v>1</v>
      </c>
      <c r="G7" s="3">
        <f>ROUND(INDEX(Panels!G:G,MATCH(C7,Panels!C:C,0))*(1+(INDEX(Panels!J:J,MATCH(C7,Panels!C:C,0))/100)*(Inputs!B5-25))*E7,1)</f>
      </c>
      <c r="H7" s="3">
        <f>ROUND(INDEX(Panels!E:E,MATCH(C7,Panels!C:C,0))*(1+(INDEX(Panels!J:J,MATCH(C7,Panels!C:C,0))/100)*(Inputs!B6-25))*E7,1)</f>
      </c>
      <c r="I7" s="3">
        <f>IF(OR(INDEX(Inverters!Q:Q,MATCH(B7,Inverters!C:C,0))="model_only_needs_datasheet",INDEX(Panels!O:O,MATCH(C7,Panels!C:C,0))="model_only_needs_datasheet"),"VERIFY",IF(AND(G7&lt;INDEX(Inverters!G:G,MATCH(B7,Inverters!C:C,0)),H7&gt;=INDEX(Inverters!I:I,MATCH(B7,Inverters!C:C,0)),H7&lt;=INDEX(Inverters!J:J,MATCH(B7,Inverters!C:C,0))),"PASS","FAIL"))</f>
      </c>
      <c r="J7" s="3">
        <f>IF(OR(INDEX(Inverters!Q:Q,MATCH(B7,Inverters!C:C,0))="model_only_needs_datasheet",INDEX(Panels!O:O,MATCH(C7,Panels!C:C,0))="model_only_needs_datasheet"),"VERIFY",IF(INDEX(Panels!F:F,MATCH(C7,Panels!C:C,0))*F7&lt;=INDEX(Inverters!M:M,MATCH(B7,Inverters!C:C,0)),"PASS","FAIL"))</f>
      </c>
      <c r="K7" s="3">
        <f>IF(ISNUMBER(SEARCH("Deye",INDEX(Batteries!M:M,MATCH(D7,Batteries!C:C,0)))),"PASS","VERIFY")</f>
      </c>
      <c r="L7" s="3">
        <f>IF(OR(I7="FAIL",J7="FAIL"),"FAIL",IF(OR(I7="VERIFY",J7="VERIFY",K7="VERIFY",INDEX(Inverters!Q:Q,MATCH(B7,Inverters!C:C,0))="model_only_needs_datasheet",INDEX(Panels!O:O,MATCH(C7,Panels!C:C,0))="model_only_needs_datasheet",INDEX(Batteries!N:N,MATCH(D7,Batteries!C:C,0))="model_only_needs_datasheet"),"VERIFY","PASS"))</f>
      </c>
      <c r="M7" t="inlineStr">
        <is>
          <t>Needs datasheet verification for exact Growatt electrical limits.</t>
        </is>
      </c>
    </row>
    <row r="8">
      <c r="A8" t="inlineStr">
        <is>
          <t>Solis hybrid</t>
        </is>
      </c>
      <c r="B8" t="inlineStr">
        <is>
          <t>S6-EH3P10K-H-EU</t>
        </is>
      </c>
      <c r="C8" t="inlineStr">
        <is>
          <t>JKM575N-72HL4-V</t>
        </is>
      </c>
      <c r="D8" t="inlineStr">
        <is>
          <t>BX51100</t>
        </is>
      </c>
      <c r="E8">
        <v>8</v>
      </c>
      <c r="F8">
        <v>1</v>
      </c>
      <c r="G8" s="3">
        <f>ROUND(INDEX(Panels!G:G,MATCH(C8,Panels!C:C,0))*(1+(INDEX(Panels!J:J,MATCH(C8,Panels!C:C,0))/100)*(Inputs!B5-25))*E8,1)</f>
      </c>
      <c r="H8" s="3">
        <f>ROUND(INDEX(Panels!E:E,MATCH(C8,Panels!C:C,0))*(1+(INDEX(Panels!J:J,MATCH(C8,Panels!C:C,0))/100)*(Inputs!B6-25))*E8,1)</f>
      </c>
      <c r="I8" s="3">
        <f>IF(OR(INDEX(Inverters!Q:Q,MATCH(B8,Inverters!C:C,0))="model_only_needs_datasheet",INDEX(Panels!O:O,MATCH(C8,Panels!C:C,0))="model_only_needs_datasheet"),"VERIFY",IF(AND(G8&lt;INDEX(Inverters!G:G,MATCH(B8,Inverters!C:C,0)),H8&gt;=INDEX(Inverters!I:I,MATCH(B8,Inverters!C:C,0)),H8&lt;=INDEX(Inverters!J:J,MATCH(B8,Inverters!C:C,0))),"PASS","FAIL"))</f>
      </c>
      <c r="J8" s="3">
        <f>IF(OR(INDEX(Inverters!Q:Q,MATCH(B8,Inverters!C:C,0))="model_only_needs_datasheet",INDEX(Panels!O:O,MATCH(C8,Panels!C:C,0))="model_only_needs_datasheet"),"VERIFY",IF(INDEX(Panels!F:F,MATCH(C8,Panels!C:C,0))*F8&lt;=INDEX(Inverters!M:M,MATCH(B8,Inverters!C:C,0)),"PASS","FAIL"))</f>
      </c>
      <c r="K8" s="3">
        <f>IF(ISNUMBER(SEARCH("Deye",INDEX(Batteries!M:M,MATCH(D8,Batteries!C:C,0)))),"PASS","VERIFY")</f>
      </c>
      <c r="L8" s="3">
        <f>IF(OR(I8="FAIL",J8="FAIL"),"FAIL",IF(OR(I8="VERIFY",J8="VERIFY",K8="VERIFY",INDEX(Inverters!Q:Q,MATCH(B8,Inverters!C:C,0))="model_only_needs_datasheet",INDEX(Panels!O:O,MATCH(C8,Panels!C:C,0))="model_only_needs_datasheet",INDEX(Batteries!N:N,MATCH(D8,Batteries!C:C,0))="model_only_needs_datasheet"),"VERIFY","PASS"))</f>
      </c>
      <c r="M8" t="inlineStr">
        <is>
          <t>Needs datasheet verification for exact Solis electrical limits.</t>
        </is>
      </c>
    </row>
    <row r="9">
      <c r="A9" t="inlineStr">
        <is>
          <t>MUST hybrid</t>
        </is>
      </c>
      <c r="B9" t="inlineStr">
        <is>
          <t>PV1800 PRO-5.2KW-48V</t>
        </is>
      </c>
      <c r="C9" t="inlineStr">
        <is>
          <t>JKM575N-72HL4-V</t>
        </is>
      </c>
      <c r="D9" t="inlineStr">
        <is>
          <t>US5000</t>
        </is>
      </c>
      <c r="E9">
        <v>4</v>
      </c>
      <c r="F9">
        <v>1</v>
      </c>
      <c r="G9" s="3">
        <f>ROUND(INDEX(Panels!G:G,MATCH(C9,Panels!C:C,0))*(1+(INDEX(Panels!J:J,MATCH(C9,Panels!C:C,0))/100)*(Inputs!B5-25))*E9,1)</f>
      </c>
      <c r="H9" s="3">
        <f>ROUND(INDEX(Panels!E:E,MATCH(C9,Panels!C:C,0))*(1+(INDEX(Panels!J:J,MATCH(C9,Panels!C:C,0))/100)*(Inputs!B6-25))*E9,1)</f>
      </c>
      <c r="I9" s="3">
        <f>IF(OR(INDEX(Inverters!Q:Q,MATCH(B9,Inverters!C:C,0))="model_only_needs_datasheet",INDEX(Panels!O:O,MATCH(C9,Panels!C:C,0))="model_only_needs_datasheet"),"VERIFY",IF(AND(G9&lt;INDEX(Inverters!G:G,MATCH(B9,Inverters!C:C,0)),H9&gt;=INDEX(Inverters!I:I,MATCH(B9,Inverters!C:C,0)),H9&lt;=INDEX(Inverters!J:J,MATCH(B9,Inverters!C:C,0))),"PASS","FAIL"))</f>
      </c>
      <c r="J9" s="3">
        <f>IF(OR(INDEX(Inverters!Q:Q,MATCH(B9,Inverters!C:C,0))="model_only_needs_datasheet",INDEX(Panels!O:O,MATCH(C9,Panels!C:C,0))="model_only_needs_datasheet"),"VERIFY",IF(INDEX(Panels!F:F,MATCH(C9,Panels!C:C,0))*F9&lt;=INDEX(Inverters!M:M,MATCH(B9,Inverters!C:C,0)),"PASS","FAIL"))</f>
      </c>
      <c r="K9" s="3">
        <f>IF(ISNUMBER(SEARCH("Deye",INDEX(Batteries!M:M,MATCH(D9,Batteries!C:C,0)))),"PASS","VERIFY")</f>
      </c>
      <c r="L9" s="3">
        <f>IF(OR(I9="FAIL",J9="FAIL"),"FAIL",IF(OR(I9="VERIFY",J9="VERIFY",K9="VERIFY",INDEX(Inverters!Q:Q,MATCH(B9,Inverters!C:C,0))="model_only_needs_datasheet",INDEX(Panels!O:O,MATCH(C9,Panels!C:C,0))="model_only_needs_datasheet",INDEX(Batteries!N:N,MATCH(D9,Batteries!C:C,0))="model_only_needs_datasheet"),"VERIFY","PASS"))</f>
      </c>
      <c r="M9" t="inlineStr">
        <is>
          <t>Low-voltage starter check.</t>
        </is>
      </c>
    </row>
  </sheetData>
  <autoFilter ref="A1:M9"/>
  <conditionalFormatting sqref="I2:L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34" customWidth="1"/>
    <col min="3" max="3" width="16" customWidth="1"/>
    <col min="4" max="4" width="72" customWidth="1"/>
  </cols>
  <sheetData>
    <row r="1">
      <c r="A1" t="inlineStr" s="1">
        <is>
          <t>Экономика (Economics)</t>
        </is>
      </c>
      <c r="B1" t="inlineStr" s="1">
        <is>
          <t>Значение (Value)</t>
        </is>
      </c>
      <c r="C1" t="inlineStr" s="1">
        <is>
          <t>Ед. изм. (Unit)</t>
        </is>
      </c>
      <c r="D1" t="inlineStr" s="1">
        <is>
          <t>Формула / смысл (Formula / meaning)</t>
        </is>
      </c>
    </row>
    <row r="2">
      <c r="A2" t="inlineStr">
        <is>
          <t>Регион / тарифная зона (Region / tariff zone)</t>
        </is>
      </c>
      <c r="B2" s="3">
        <f>Inputs!B25</f>
      </c>
      <c r="C2" t="inlineStr">
        <is>
          <t/>
        </is>
      </c>
      <c r="D2" t="inlineStr">
        <is>
          <t>Из листа Inputs (From Inputs)</t>
        </is>
      </c>
    </row>
    <row r="3">
      <c r="A3" t="inlineStr">
        <is>
          <t>Мощность выбранной панели (Selected panel power)</t>
        </is>
      </c>
      <c r="B3" s="3">
        <f>INDEX(Panels!D:D,MATCH(Inputs!B4,Panels!C:C,0))</f>
      </c>
      <c r="C3" t="inlineStr">
        <is>
          <t>W</t>
        </is>
      </c>
      <c r="D3" t="inlineStr">
        <is>
          <t>Из базы Panels (From Panels database)</t>
        </is>
      </c>
    </row>
    <row r="4">
      <c r="A4" t="inlineStr">
        <is>
          <t>Total panel count</t>
        </is>
      </c>
      <c r="B4" s="3">
        <f>Inputs!B12</f>
      </c>
      <c r="C4" t="inlineStr">
        <is>
          <t>pcs</t>
        </is>
      </c>
      <c r="D4" t="inlineStr">
        <is>
          <t>Из листа Inputs (From Inputs)</t>
        </is>
      </c>
    </row>
    <row r="5">
      <c r="A5" t="inlineStr">
        <is>
          <t>Мощность СЭС (PV system size)</t>
        </is>
      </c>
      <c r="B5" s="3">
        <f>B3*B4/1000</f>
      </c>
      <c r="C5" t="inlineStr">
        <is>
          <t>kWp</t>
        </is>
      </c>
      <c r="D5" t="inlineStr">
        <is>
          <t>Panel power x total panels</t>
        </is>
      </c>
    </row>
    <row r="6">
      <c r="A6" t="inlineStr">
        <is>
          <t>Удельная выработка (Specific yield)</t>
        </is>
      </c>
      <c r="B6" s="3">
        <f>INDEX(Regions!B:B,MATCH(B2,Regions!A:A,0))</f>
      </c>
      <c r="C6" t="inlineStr">
        <is>
          <t>kWh/kWp/year</t>
        </is>
      </c>
      <c r="D6" t="inlineStr">
        <is>
          <t>Из базы Regions (From Regions database)</t>
        </is>
      </c>
    </row>
    <row r="7">
      <c r="A7" t="inlineStr">
        <is>
          <t>Коэффициент производительности (Performance ratio)</t>
        </is>
      </c>
      <c r="B7" s="3">
        <v>0.85</v>
      </c>
      <c r="C7" t="inlineStr">
        <is>
          <t>factor</t>
        </is>
      </c>
      <c r="D7" t="inlineStr">
        <is>
          <t>Стартовый коэффициент потерь системы (Starter system loss factor)</t>
        </is>
      </c>
    </row>
    <row r="8">
      <c r="A8" t="inlineStr">
        <is>
          <t>Годовая выработка (Annual generation)</t>
        </is>
      </c>
      <c r="B8" s="3">
        <f>ROUND(B5*B6*B7,0)</f>
      </c>
      <c r="C8" t="inlineStr">
        <is>
          <t>kWh/year</t>
        </is>
      </c>
      <c r="D8" t="inlineStr">
        <is>
          <t>Мощность PV x выработка x коэффициент производительности (PV size x yield x performance ratio)</t>
        </is>
      </c>
    </row>
    <row r="9">
      <c r="A9" t="inlineStr">
        <is>
          <t>Розничный тариф (Retail tariff)</t>
        </is>
      </c>
      <c r="B9" s="3">
        <f>INDEX(Tariffs!B:B,MATCH(B2,Tariffs!A:A,0))</f>
      </c>
      <c r="C9" t="inlineStr">
        <is>
          <t>RUB/kWh</t>
        </is>
      </c>
      <c r="D9" t="inlineStr">
        <is>
          <t>Из базы Tariffs (From Tariffs database)</t>
        </is>
      </c>
    </row>
    <row r="10">
      <c r="A10" t="inlineStr">
        <is>
          <t>Экспорт / зеленый тариф (Export / green tariff)</t>
        </is>
      </c>
      <c r="B10" s="3">
        <f>INDEX(Tariffs!C:C,MATCH(B2,Tariffs!A:A,0))</f>
      </c>
      <c r="C10" t="inlineStr">
        <is>
          <t>RUB/kWh</t>
        </is>
      </c>
      <c r="D10" t="inlineStr">
        <is>
          <t>Стартовая цена покупки микрогенерации (Starter microgeneration purchase value)</t>
        </is>
      </c>
    </row>
    <row r="11">
      <c r="A11" t="inlineStr">
        <is>
          <t>Доля собственного потребления (Self-consumption share)</t>
        </is>
      </c>
      <c r="B11" s="3">
        <f>Inputs!B26</f>
      </c>
      <c r="C11" t="inlineStr">
        <is>
          <t>%</t>
        </is>
      </c>
      <c r="D11" t="inlineStr">
        <is>
          <t>Из листа Inputs (From Inputs)</t>
        </is>
      </c>
    </row>
    <row r="12">
      <c r="A12" t="inlineStr">
        <is>
          <t>Годовая экономия (Annual savings)</t>
        </is>
      </c>
      <c r="B12" s="3">
        <f>ROUND(B8*(B11/100)*B9+B8*(1-B11/100)*B10,0)</f>
      </c>
      <c r="C12" t="inlineStr">
        <is>
          <t>RUB/year</t>
        </is>
      </c>
      <c r="D12" t="inlineStr">
        <is>
          <t>Self-consumed value plus exported value</t>
        </is>
      </c>
    </row>
    <row r="13">
      <c r="A13" t="inlineStr">
        <is>
          <t>Простая окупаемость (Simple payback)</t>
        </is>
      </c>
      <c r="B13" s="3">
        <f>IF(B12&gt;0,ROUND(B14/B12,1),"")</f>
      </c>
      <c r="C13" t="inlineStr">
        <is>
          <t>years</t>
        </is>
      </c>
      <c r="D13" t="inlineStr">
        <is>
          <t>Стоимость системы / годовая экономия (Installed cost / annual savings)</t>
        </is>
      </c>
    </row>
    <row r="14">
      <c r="A14" t="inlineStr">
        <is>
          <t>Стоимость установленной системы (Installed system cost)</t>
        </is>
      </c>
      <c r="B14" s="3">
        <f>Inputs!B27</f>
      </c>
      <c r="C14" t="inlineStr">
        <is>
          <t>RUB</t>
        </is>
      </c>
      <c r="D14" t="inlineStr">
        <is>
          <t>Из листа Inputs (From Inputs)</t>
        </is>
      </c>
    </row>
    <row r="15">
      <c r="A15" t="inlineStr">
        <is>
          <t>Статус источника тарифа (Tariff source status)</t>
        </is>
      </c>
      <c r="B15" s="3">
        <f>Inputs!B28</f>
      </c>
      <c r="C15" t="inlineStr">
        <is>
          <t/>
        </is>
      </c>
      <c r="D15" t="inlineStr">
        <is>
          <t>VERIFY until supplier/date is checked</t>
        </is>
      </c>
    </row>
    <row r="16">
      <c r="A16" t="inlineStr">
        <is>
          <t>Источник розничного тарифа (Retail tariff source)</t>
        </is>
      </c>
      <c r="B16" s="3">
        <f>INDEX(Tariffs!D:D,MATCH(B2,Tariffs!A:A,0))</f>
      </c>
      <c r="C16" t="inlineStr">
        <is>
          <t/>
        </is>
      </c>
      <c r="D16" t="inlineStr">
        <is>
          <t>URL источника (Source URL)</t>
        </is>
      </c>
    </row>
    <row r="17">
      <c r="A17" t="inlineStr">
        <is>
          <t>Источник экспортного тарифа (Export tariff source)</t>
        </is>
      </c>
      <c r="B17" s="3">
        <f>INDEX(Tariffs!E:E,MATCH(B2,Tariffs!A:A,0))</f>
      </c>
      <c r="C17" t="inlineStr">
        <is>
          <t/>
        </is>
      </c>
      <c r="D17" t="inlineStr">
        <is>
          <t>URL источника (Source URL)</t>
        </is>
      </c>
    </row>
    <row r="18">
      <c r="A18" t="inlineStr">
        <is>
          <t>Потребление в месяц (Monthly consumption)</t>
        </is>
      </c>
      <c r="B18" s="3">
        <f>Inputs!B29</f>
      </c>
      <c r="C18" t="inlineStr">
        <is>
          <t>kWh/month</t>
        </is>
      </c>
      <c r="D18" t="inlineStr">
        <is>
          <t>Из листа Inputs (From Inputs)</t>
        </is>
      </c>
    </row>
    <row r="19">
      <c r="A19" t="inlineStr">
        <is>
          <t>Годовое потребление (Annual consumption)</t>
        </is>
      </c>
      <c r="B19" s="3">
        <f>B18*12</f>
      </c>
      <c r="C19" t="inlineStr">
        <is>
          <t>kWh/year</t>
        </is>
      </c>
      <c r="D19" t="inlineStr">
        <is>
          <t>Месячное потребление x 12 (Monthly consumption x 12)</t>
        </is>
      </c>
    </row>
    <row r="20">
      <c r="A20" t="inlineStr">
        <is>
          <t>Целевое годовое покрытие (Target annual coverage)</t>
        </is>
      </c>
      <c r="B20" s="3">
        <f>B19*Inputs!B30/100</f>
      </c>
      <c r="C20" t="inlineStr">
        <is>
          <t>kWh/year</t>
        </is>
      </c>
      <c r="D20" t="inlineStr">
        <is>
          <t>Годовое потребление x целевое покрытие (Annual consumption x target coverage)</t>
        </is>
      </c>
    </row>
    <row r="21">
      <c r="A21" t="inlineStr">
        <is>
          <t>Смешанный тариф день-ночь (Day-night blended tariff)</t>
        </is>
      </c>
      <c r="B21" s="3">
        <f>Inputs!B33*(Inputs!B32/100)+Inputs!B34*(1-Inputs!B32/100)</f>
      </c>
      <c r="C21" t="inlineStr">
        <is>
          <t>RUB/kWh</t>
        </is>
      </c>
      <c r="D21" t="inlineStr">
        <is>
          <t>Доля дня x дневной тариф плюс доля ночи x ночной тариф (Day share x day tariff plus night share x night tariff)</t>
        </is>
      </c>
    </row>
    <row r="22">
      <c r="A22" t="inlineStr">
        <is>
          <t>Оценочная текущая годовая стоимость (Estimated current annual cost)</t>
        </is>
      </c>
      <c r="B22" s="3">
        <f>B19*B9</f>
      </c>
      <c r="C22" t="inlineStr">
        <is>
          <t>RUB/year</t>
        </is>
      </c>
      <c r="D22" t="inlineStr">
        <is>
          <t>Годовое потребление x розничный тариф (Annual consumption x retail tariff)</t>
        </is>
      </c>
    </row>
    <row r="23">
      <c r="A23" t="inlineStr">
        <is>
          <t>Оценочная годовая стоимость день-ночь (Estimated day-night annual cost)</t>
        </is>
      </c>
      <c r="B23" s="3">
        <f>B19*B21</f>
      </c>
      <c r="C23" t="inlineStr">
        <is>
          <t>RUB/year</t>
        </is>
      </c>
      <c r="D23" t="inlineStr">
        <is>
          <t>Годовое потребление x смешанный тариф день-ночь (Annual consumption x blended day-night tariff)</t>
        </is>
      </c>
    </row>
    <row r="24">
      <c r="A24" t="inlineStr">
        <is>
          <t>Потенциальная экономия день-ночь до СЭС (Potential day-night saving before PV)</t>
        </is>
      </c>
      <c r="B24" s="3">
        <f>MAX(0,B22-B23)</f>
      </c>
      <c r="C24" t="inlineStr">
        <is>
          <t>RUB/year</t>
        </is>
      </c>
      <c r="D24" t="inlineStr">
        <is>
          <t>Текущая стоимость минус стоимость день-ночь (Current cost minus day-night cost)</t>
        </is>
      </c>
    </row>
  </sheetData>
  <conditionalFormatting sqref="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4" customWidth="1"/>
    <col min="3" max="3" width="16" customWidth="1"/>
    <col min="4" max="4" width="14" customWidth="1"/>
    <col min="5" max="5" width="14" customWidth="1"/>
    <col min="6" max="6" width="24" customWidth="1"/>
    <col min="7" max="7" width="16" customWidth="1"/>
    <col min="8" max="8" width="16" customWidth="1"/>
    <col min="9" max="9" width="10" customWidth="1"/>
    <col min="10" max="10" width="18" customWidth="1"/>
    <col min="11" max="11" width="20" customWidth="1"/>
    <col min="12" max="12" width="20" customWidth="1"/>
    <col min="13" max="13" width="12" customWidth="1"/>
    <col min="14" max="14" width="16" customWidth="1"/>
    <col min="15" max="15" width="18" customWidth="1"/>
    <col min="16" max="16" width="18" customWidth="1"/>
    <col min="17" max="17" width="24" customWidth="1"/>
    <col min="18" max="18" width="18" customWidth="1"/>
    <col min="19" max="19" width="54" customWidth="1"/>
  </cols>
  <sheetData>
    <row r="1">
      <c r="A1" t="inlineStr" s="1">
        <is>
          <t>Вариант (Option)</t>
        </is>
      </c>
      <c r="B1" t="inlineStr" s="1">
        <is>
          <t>Качество (Quality)</t>
        </is>
      </c>
      <c r="C1" t="inlineStr" s="1">
        <is>
          <t>Стоимость за кВтп (Cost per kWp)</t>
        </is>
      </c>
      <c r="D1" t="inlineStr" s="1">
        <is>
          <t>Срок службы (Service life)</t>
        </is>
      </c>
      <c r="E1" t="inlineStr" s="1">
        <is>
          <t>Деградация (Degradation)</t>
        </is>
      </c>
      <c r="F1" t="inlineStr" s="1">
        <is>
          <t>Требуемая годовая выработка (Required annual generation)</t>
        </is>
      </c>
      <c r="G1" t="inlineStr" s="1">
        <is>
          <t>Требуемая мощность кВтп (Required kWp)</t>
        </is>
      </c>
      <c r="H1" t="inlineStr" s="1">
        <is>
          <t>Рекомендуемая мощность кВтп (Recommended kWp)</t>
        </is>
      </c>
      <c r="I1" t="inlineStr" s="1">
        <is>
          <t>Панели (Panels)</t>
        </is>
      </c>
      <c r="J1" t="inlineStr" s="1">
        <is>
          <t>Дневная выработка (Daily generation)</t>
        </is>
      </c>
      <c r="K1" t="inlineStr" s="1">
        <is>
          <t>Месячная выработка (Monthly generation)</t>
        </is>
      </c>
      <c r="L1" t="inlineStr" s="1">
        <is>
          <t>Годовая выработка (Annual generation)</t>
        </is>
      </c>
      <c r="M1" t="inlineStr" s="1">
        <is>
          <t>Покрытие (Coverage)</t>
        </is>
      </c>
      <c r="N1" t="inlineStr" s="1">
        <is>
          <t>Оценочная стоимость (Estimated cost)</t>
        </is>
      </c>
      <c r="O1" t="inlineStr" s="1">
        <is>
          <t>Экономия на едином тарифе (Single-rate savings)</t>
        </is>
      </c>
      <c r="P1" t="inlineStr" s="1">
        <is>
          <t>Экономия день-ночь (Day-night savings)</t>
        </is>
      </c>
      <c r="Q1" t="inlineStr" s="1">
        <is>
          <t>Выручка от зеленого тарифа (Green tariff export revenue)</t>
        </is>
      </c>
      <c r="R1" t="inlineStr" s="1">
        <is>
          <t>Окупаемость день-ночь (Payback day-night)</t>
        </is>
      </c>
      <c r="S1" t="inlineStr" s="1">
        <is>
          <t>Примечания (Notes)</t>
        </is>
      </c>
    </row>
    <row r="2">
      <c r="A2" t="inlineStr">
        <is>
          <t>Premium</t>
        </is>
      </c>
      <c r="B2" s="3">
        <f>INDEX(OptionTiers!B:B,MATCH(A2,OptionTiers!A:A,0))</f>
      </c>
      <c r="C2" s="3">
        <f>INDEX(OptionTiers!C:C,MATCH(A2,OptionTiers!A:A,0))</f>
      </c>
      <c r="D2" s="3">
        <f>INDEX(OptionTiers!D:D,MATCH(A2,OptionTiers!A:A,0))</f>
      </c>
      <c r="E2" s="3">
        <f>INDEX(OptionTiers!E:E,MATCH(A2,OptionTiers!A:A,0))</f>
      </c>
      <c r="F2" s="3">
        <f>Economics!B20</f>
      </c>
      <c r="G2" s="3">
        <f>F2/Economics!B6/Economics!B7</f>
      </c>
      <c r="H2" s="3">
        <f>ROUNDUP(G2*1000/INDEX(Panels!D:D,MATCH(Inputs!B4,Panels!C:C,0)),0)*INDEX(Panels!D:D,MATCH(Inputs!B4,Panels!C:C,0))/1000</f>
      </c>
      <c r="I2" s="3">
        <f>ROUNDUP(G2*1000/INDEX(Panels!D:D,MATCH(Inputs!B4,Panels!C:C,0)),0)</f>
      </c>
      <c r="J2" s="3">
        <f>ROUND(L2/365,1)</f>
      </c>
      <c r="K2" s="3">
        <f>ROUND(L2/12,0)</f>
      </c>
      <c r="L2" s="3">
        <f>ROUND(H2*Economics!B6*Economics!B7,0)</f>
      </c>
      <c r="M2" s="3">
        <f>ROUND(L2/Economics!B19*100,0)</f>
      </c>
      <c r="N2" s="3">
        <f>ROUND(H2*C2,0)</f>
      </c>
      <c r="O2" s="3">
        <f>ROUND(L2*(Inputs!B26/100)*Economics!B9+L2*(1-Inputs!B26/100)*Economics!B10,0)</f>
      </c>
      <c r="P2" s="3">
        <f>ROUND(L2*(Inputs!B26/100)*Economics!B21+L2*(1-Inputs!B26/100)*Economics!B10+Economics!B24,0)</f>
      </c>
      <c r="Q2" s="3">
        <f>ROUND(L2*(1-Inputs!B26/100)*Economics!B10,0)</f>
      </c>
      <c r="R2" s="3">
        <f>IF(P2&gt;0,ROUND(N2/P2,1),"")</f>
      </c>
      <c r="S2" t="inlineStr">
        <is>
          <t>Повышенный бюджет; сверить коммерческое предложение (Higher allowance; verify commercial offer)</t>
        </is>
      </c>
    </row>
    <row r="3">
      <c r="A3" t="inlineStr">
        <is>
          <t>Standard</t>
        </is>
      </c>
      <c r="B3" s="3">
        <f>INDEX(OptionTiers!B:B,MATCH(A3,OptionTiers!A:A,0))</f>
      </c>
      <c r="C3" s="3">
        <f>INDEX(OptionTiers!C:C,MATCH(A3,OptionTiers!A:A,0))</f>
      </c>
      <c r="D3" s="3">
        <f>INDEX(OptionTiers!D:D,MATCH(A3,OptionTiers!A:A,0))</f>
      </c>
      <c r="E3" s="3">
        <f>INDEX(OptionTiers!E:E,MATCH(A3,OptionTiers!A:A,0))</f>
      </c>
      <c r="F3" s="3">
        <f>Economics!B20</f>
      </c>
      <c r="G3" s="3">
        <f>F3/Economics!B6/Economics!B7</f>
      </c>
      <c r="H3" s="3">
        <f>ROUNDUP(G3*1000/INDEX(Panels!D:D,MATCH(Inputs!B4,Panels!C:C,0)),0)*INDEX(Panels!D:D,MATCH(Inputs!B4,Panels!C:C,0))/1000</f>
      </c>
      <c r="I3" s="3">
        <f>ROUNDUP(G3*1000/INDEX(Panels!D:D,MATCH(Inputs!B4,Panels!C:C,0)),0)</f>
      </c>
      <c r="J3" s="3">
        <f>ROUND(L3/365,1)</f>
      </c>
      <c r="K3" s="3">
        <f>ROUND(L3/12,0)</f>
      </c>
      <c r="L3" s="3">
        <f>ROUND(H3*Economics!B6*Economics!B7,0)</f>
      </c>
      <c r="M3" s="3">
        <f>ROUND(L3/Economics!B19*100,0)</f>
      </c>
      <c r="N3" s="3">
        <f>ROUND(H3*C3,0)</f>
      </c>
      <c r="O3" s="3">
        <f>ROUND(L3*(Inputs!B26/100)*Economics!B9+L3*(1-Inputs!B26/100)*Economics!B10,0)</f>
      </c>
      <c r="P3" s="3">
        <f>ROUND(L3*(Inputs!B26/100)*Economics!B21+L3*(1-Inputs!B26/100)*Economics!B10+Economics!B24,0)</f>
      </c>
      <c r="Q3" s="3">
        <f>ROUND(L3*(1-Inputs!B26/100)*Economics!B10,0)</f>
      </c>
      <c r="R3" s="3">
        <f>IF(P3&gt;0,ROUND(N3/P3,1),"")</f>
      </c>
      <c r="S3" t="inlineStr">
        <is>
          <t>Сбалансированный вариант по умолчанию (Balanced default option)</t>
        </is>
      </c>
    </row>
    <row r="4">
      <c r="A4" t="inlineStr">
        <is>
          <t>Economy</t>
        </is>
      </c>
      <c r="B4" s="3">
        <f>INDEX(OptionTiers!B:B,MATCH(A4,OptionTiers!A:A,0))</f>
      </c>
      <c r="C4" s="3">
        <f>INDEX(OptionTiers!C:C,MATCH(A4,OptionTiers!A:A,0))</f>
      </c>
      <c r="D4" s="3">
        <f>INDEX(OptionTiers!D:D,MATCH(A4,OptionTiers!A:A,0))</f>
      </c>
      <c r="E4" s="3">
        <f>INDEX(OptionTiers!E:E,MATCH(A4,OptionTiers!A:A,0))</f>
      </c>
      <c r="F4" s="3">
        <f>Economics!B20</f>
      </c>
      <c r="G4" s="3">
        <f>F4/Economics!B6/Economics!B7</f>
      </c>
      <c r="H4" s="3">
        <f>ROUNDUP(G4*1000/INDEX(Panels!D:D,MATCH(Inputs!B4,Panels!C:C,0)),0)*INDEX(Panels!D:D,MATCH(Inputs!B4,Panels!C:C,0))/1000</f>
      </c>
      <c r="I4" s="3">
        <f>ROUNDUP(G4*1000/INDEX(Panels!D:D,MATCH(Inputs!B4,Panels!C:C,0)),0)</f>
      </c>
      <c r="J4" s="3">
        <f>ROUND(L4/365,1)</f>
      </c>
      <c r="K4" s="3">
        <f>ROUND(L4/12,0)</f>
      </c>
      <c r="L4" s="3">
        <f>ROUND(H4*Economics!B6*Economics!B7,0)</f>
      </c>
      <c r="M4" s="3">
        <f>ROUND(L4/Economics!B19*100,0)</f>
      </c>
      <c r="N4" s="3">
        <f>ROUND(H4*C4,0)</f>
      </c>
      <c r="O4" s="3">
        <f>ROUND(L4*(Inputs!B26/100)*Economics!B9+L4*(1-Inputs!B26/100)*Economics!B10,0)</f>
      </c>
      <c r="P4" s="3">
        <f>ROUND(L4*(Inputs!B26/100)*Economics!B21+L4*(1-Inputs!B26/100)*Economics!B10+Economics!B24,0)</f>
      </c>
      <c r="Q4" s="3">
        <f>ROUND(L4*(1-Inputs!B26/100)*Economics!B10,0)</f>
      </c>
      <c r="R4" s="3">
        <f>IF(P4&gt;0,ROUND(N4/P4,1),"")</f>
      </c>
      <c r="S4" t="inlineStr">
        <is>
          <t>Пониженный бюджет; проверить гарантии (Lower cost allowance; verify warranties)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pane xSplit="0" ySplit="1" topLeftCell="A2" activePane="bottomRight" state="frozen"/>
    </sheetView>
  </sheetViews>
  <sheetFormatPr defaultRowHeight="16"/>
  <cols>
    <col min="1" max="1" width="1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t="inlineStr" s="1">
        <is>
          <t>Год (Year)</t>
        </is>
      </c>
      <c r="B1" t="inlineStr" s="1">
        <is>
          <t>Выработка Premium (Premium generation)</t>
        </is>
      </c>
      <c r="C1" t="inlineStr" s="1">
        <is>
          <t>Выработка Standard (Standard generation)</t>
        </is>
      </c>
      <c r="D1" t="inlineStr" s="1">
        <is>
          <t>Выработка Economy (Economy generation)</t>
        </is>
      </c>
      <c r="E1" t="inlineStr" s="1">
        <is>
          <t>Накопительно Premium (Premium cumulative)</t>
        </is>
      </c>
      <c r="F1" t="inlineStr" s="1">
        <is>
          <t>Накопительно Standard (Standard cumulative)</t>
        </is>
      </c>
      <c r="G1" t="inlineStr" s="1">
        <is>
          <t>Накопительно Economy (Economy cumulative)</t>
        </is>
      </c>
    </row>
    <row r="2">
      <c r="A2">
        <v>0</v>
      </c>
      <c r="B2" s="3">
        <f>ROUND(SystemOptions!L2*(1-SystemOptions!E2/100)^A2,0)</f>
      </c>
      <c r="C2" s="3">
        <f>ROUND(SystemOptions!L3*(1-SystemOptions!E3/100)^A2,0)</f>
      </c>
      <c r="D2" s="3">
        <f>ROUND(SystemOptions!L4*(1-SystemOptions!E4/100)^A2,0)</f>
      </c>
      <c r="E2" s="3">
        <f>SUM(B$2:B2)</f>
      </c>
      <c r="F2" s="3">
        <f>SUM(C$2:C2)</f>
      </c>
      <c r="G2" s="3">
        <f>SUM(D$2:D2)</f>
      </c>
    </row>
    <row r="3">
      <c r="A3">
        <v>1</v>
      </c>
      <c r="B3" s="3">
        <f>ROUND(SystemOptions!L2*(1-SystemOptions!E2/100)^A3,0)</f>
      </c>
      <c r="C3" s="3">
        <f>ROUND(SystemOptions!L3*(1-SystemOptions!E3/100)^A3,0)</f>
      </c>
      <c r="D3" s="3">
        <f>ROUND(SystemOptions!L4*(1-SystemOptions!E4/100)^A3,0)</f>
      </c>
      <c r="E3" s="3">
        <f>SUM(B$2:B3)</f>
      </c>
      <c r="F3" s="3">
        <f>SUM(C$2:C3)</f>
      </c>
      <c r="G3" s="3">
        <f>SUM(D$2:D3)</f>
      </c>
    </row>
    <row r="4">
      <c r="A4">
        <v>2</v>
      </c>
      <c r="B4" s="3">
        <f>ROUND(SystemOptions!L2*(1-SystemOptions!E2/100)^A4,0)</f>
      </c>
      <c r="C4" s="3">
        <f>ROUND(SystemOptions!L3*(1-SystemOptions!E3/100)^A4,0)</f>
      </c>
      <c r="D4" s="3">
        <f>ROUND(SystemOptions!L4*(1-SystemOptions!E4/100)^A4,0)</f>
      </c>
      <c r="E4" s="3">
        <f>SUM(B$2:B4)</f>
      </c>
      <c r="F4" s="3">
        <f>SUM(C$2:C4)</f>
      </c>
      <c r="G4" s="3">
        <f>SUM(D$2:D4)</f>
      </c>
    </row>
    <row r="5">
      <c r="A5">
        <v>3</v>
      </c>
      <c r="B5" s="3">
        <f>ROUND(SystemOptions!L2*(1-SystemOptions!E2/100)^A5,0)</f>
      </c>
      <c r="C5" s="3">
        <f>ROUND(SystemOptions!L3*(1-SystemOptions!E3/100)^A5,0)</f>
      </c>
      <c r="D5" s="3">
        <f>ROUND(SystemOptions!L4*(1-SystemOptions!E4/100)^A5,0)</f>
      </c>
      <c r="E5" s="3">
        <f>SUM(B$2:B5)</f>
      </c>
      <c r="F5" s="3">
        <f>SUM(C$2:C5)</f>
      </c>
      <c r="G5" s="3">
        <f>SUM(D$2:D5)</f>
      </c>
    </row>
    <row r="6">
      <c r="A6">
        <v>4</v>
      </c>
      <c r="B6" s="3">
        <f>ROUND(SystemOptions!L2*(1-SystemOptions!E2/100)^A6,0)</f>
      </c>
      <c r="C6" s="3">
        <f>ROUND(SystemOptions!L3*(1-SystemOptions!E3/100)^A6,0)</f>
      </c>
      <c r="D6" s="3">
        <f>ROUND(SystemOptions!L4*(1-SystemOptions!E4/100)^A6,0)</f>
      </c>
      <c r="E6" s="3">
        <f>SUM(B$2:B6)</f>
      </c>
      <c r="F6" s="3">
        <f>SUM(C$2:C6)</f>
      </c>
      <c r="G6" s="3">
        <f>SUM(D$2:D6)</f>
      </c>
    </row>
    <row r="7">
      <c r="A7">
        <v>5</v>
      </c>
      <c r="B7" s="3">
        <f>ROUND(SystemOptions!L2*(1-SystemOptions!E2/100)^A7,0)</f>
      </c>
      <c r="C7" s="3">
        <f>ROUND(SystemOptions!L3*(1-SystemOptions!E3/100)^A7,0)</f>
      </c>
      <c r="D7" s="3">
        <f>ROUND(SystemOptions!L4*(1-SystemOptions!E4/100)^A7,0)</f>
      </c>
      <c r="E7" s="3">
        <f>SUM(B$2:B7)</f>
      </c>
      <c r="F7" s="3">
        <f>SUM(C$2:C7)</f>
      </c>
      <c r="G7" s="3">
        <f>SUM(D$2:D7)</f>
      </c>
    </row>
    <row r="8">
      <c r="A8">
        <v>6</v>
      </c>
      <c r="B8" s="3">
        <f>ROUND(SystemOptions!L2*(1-SystemOptions!E2/100)^A8,0)</f>
      </c>
      <c r="C8" s="3">
        <f>ROUND(SystemOptions!L3*(1-SystemOptions!E3/100)^A8,0)</f>
      </c>
      <c r="D8" s="3">
        <f>ROUND(SystemOptions!L4*(1-SystemOptions!E4/100)^A8,0)</f>
      </c>
      <c r="E8" s="3">
        <f>SUM(B$2:B8)</f>
      </c>
      <c r="F8" s="3">
        <f>SUM(C$2:C8)</f>
      </c>
      <c r="G8" s="3">
        <f>SUM(D$2:D8)</f>
      </c>
    </row>
    <row r="9">
      <c r="A9">
        <v>7</v>
      </c>
      <c r="B9" s="3">
        <f>ROUND(SystemOptions!L2*(1-SystemOptions!E2/100)^A9,0)</f>
      </c>
      <c r="C9" s="3">
        <f>ROUND(SystemOptions!L3*(1-SystemOptions!E3/100)^A9,0)</f>
      </c>
      <c r="D9" s="3">
        <f>ROUND(SystemOptions!L4*(1-SystemOptions!E4/100)^A9,0)</f>
      </c>
      <c r="E9" s="3">
        <f>SUM(B$2:B9)</f>
      </c>
      <c r="F9" s="3">
        <f>SUM(C$2:C9)</f>
      </c>
      <c r="G9" s="3">
        <f>SUM(D$2:D9)</f>
      </c>
    </row>
    <row r="10">
      <c r="A10">
        <v>8</v>
      </c>
      <c r="B10" s="3">
        <f>ROUND(SystemOptions!L2*(1-SystemOptions!E2/100)^A10,0)</f>
      </c>
      <c r="C10" s="3">
        <f>ROUND(SystemOptions!L3*(1-SystemOptions!E3/100)^A10,0)</f>
      </c>
      <c r="D10" s="3">
        <f>ROUND(SystemOptions!L4*(1-SystemOptions!E4/100)^A10,0)</f>
      </c>
      <c r="E10" s="3">
        <f>SUM(B$2:B10)</f>
      </c>
      <c r="F10" s="3">
        <f>SUM(C$2:C10)</f>
      </c>
      <c r="G10" s="3">
        <f>SUM(D$2:D10)</f>
      </c>
    </row>
    <row r="11">
      <c r="A11">
        <v>9</v>
      </c>
      <c r="B11" s="3">
        <f>ROUND(SystemOptions!L2*(1-SystemOptions!E2/100)^A11,0)</f>
      </c>
      <c r="C11" s="3">
        <f>ROUND(SystemOptions!L3*(1-SystemOptions!E3/100)^A11,0)</f>
      </c>
      <c r="D11" s="3">
        <f>ROUND(SystemOptions!L4*(1-SystemOptions!E4/100)^A11,0)</f>
      </c>
      <c r="E11" s="3">
        <f>SUM(B$2:B11)</f>
      </c>
      <c r="F11" s="3">
        <f>SUM(C$2:C11)</f>
      </c>
      <c r="G11" s="3">
        <f>SUM(D$2:D11)</f>
      </c>
    </row>
    <row r="12">
      <c r="A12">
        <v>10</v>
      </c>
      <c r="B12" s="3">
        <f>ROUND(SystemOptions!L2*(1-SystemOptions!E2/100)^A12,0)</f>
      </c>
      <c r="C12" s="3">
        <f>ROUND(SystemOptions!L3*(1-SystemOptions!E3/100)^A12,0)</f>
      </c>
      <c r="D12" s="3">
        <f>ROUND(SystemOptions!L4*(1-SystemOptions!E4/100)^A12,0)</f>
      </c>
      <c r="E12" s="3">
        <f>SUM(B$2:B12)</f>
      </c>
      <c r="F12" s="3">
        <f>SUM(C$2:C12)</f>
      </c>
      <c r="G12" s="3">
        <f>SUM(D$2:D12)</f>
      </c>
    </row>
    <row r="13">
      <c r="A13">
        <v>11</v>
      </c>
      <c r="B13" s="3">
        <f>ROUND(SystemOptions!L2*(1-SystemOptions!E2/100)^A13,0)</f>
      </c>
      <c r="C13" s="3">
        <f>ROUND(SystemOptions!L3*(1-SystemOptions!E3/100)^A13,0)</f>
      </c>
      <c r="D13" s="3">
        <f>ROUND(SystemOptions!L4*(1-SystemOptions!E4/100)^A13,0)</f>
      </c>
      <c r="E13" s="3">
        <f>SUM(B$2:B13)</f>
      </c>
      <c r="F13" s="3">
        <f>SUM(C$2:C13)</f>
      </c>
      <c r="G13" s="3">
        <f>SUM(D$2:D13)</f>
      </c>
    </row>
    <row r="14">
      <c r="A14">
        <v>12</v>
      </c>
      <c r="B14" s="3">
        <f>ROUND(SystemOptions!L2*(1-SystemOptions!E2/100)^A14,0)</f>
      </c>
      <c r="C14" s="3">
        <f>ROUND(SystemOptions!L3*(1-SystemOptions!E3/100)^A14,0)</f>
      </c>
      <c r="D14" s="3">
        <f>ROUND(SystemOptions!L4*(1-SystemOptions!E4/100)^A14,0)</f>
      </c>
      <c r="E14" s="3">
        <f>SUM(B$2:B14)</f>
      </c>
      <c r="F14" s="3">
        <f>SUM(C$2:C14)</f>
      </c>
      <c r="G14" s="3">
        <f>SUM(D$2:D14)</f>
      </c>
    </row>
    <row r="15">
      <c r="A15">
        <v>13</v>
      </c>
      <c r="B15" s="3">
        <f>ROUND(SystemOptions!L2*(1-SystemOptions!E2/100)^A15,0)</f>
      </c>
      <c r="C15" s="3">
        <f>ROUND(SystemOptions!L3*(1-SystemOptions!E3/100)^A15,0)</f>
      </c>
      <c r="D15" s="3">
        <f>ROUND(SystemOptions!L4*(1-SystemOptions!E4/100)^A15,0)</f>
      </c>
      <c r="E15" s="3">
        <f>SUM(B$2:B15)</f>
      </c>
      <c r="F15" s="3">
        <f>SUM(C$2:C15)</f>
      </c>
      <c r="G15" s="3">
        <f>SUM(D$2:D15)</f>
      </c>
    </row>
    <row r="16">
      <c r="A16">
        <v>14</v>
      </c>
      <c r="B16" s="3">
        <f>ROUND(SystemOptions!L2*(1-SystemOptions!E2/100)^A16,0)</f>
      </c>
      <c r="C16" s="3">
        <f>ROUND(SystemOptions!L3*(1-SystemOptions!E3/100)^A16,0)</f>
      </c>
      <c r="D16" s="3">
        <f>ROUND(SystemOptions!L4*(1-SystemOptions!E4/100)^A16,0)</f>
      </c>
      <c r="E16" s="3">
        <f>SUM(B$2:B16)</f>
      </c>
      <c r="F16" s="3">
        <f>SUM(C$2:C16)</f>
      </c>
      <c r="G16" s="3">
        <f>SUM(D$2:D16)</f>
      </c>
    </row>
    <row r="17">
      <c r="A17">
        <v>15</v>
      </c>
      <c r="B17" s="3">
        <f>ROUND(SystemOptions!L2*(1-SystemOptions!E2/100)^A17,0)</f>
      </c>
      <c r="C17" s="3">
        <f>ROUND(SystemOptions!L3*(1-SystemOptions!E3/100)^A17,0)</f>
      </c>
      <c r="D17" s="3">
        <f>ROUND(SystemOptions!L4*(1-SystemOptions!E4/100)^A17,0)</f>
      </c>
      <c r="E17" s="3">
        <f>SUM(B$2:B17)</f>
      </c>
      <c r="F17" s="3">
        <f>SUM(C$2:C17)</f>
      </c>
      <c r="G17" s="3">
        <f>SUM(D$2:D17)</f>
      </c>
    </row>
    <row r="18">
      <c r="A18">
        <v>16</v>
      </c>
      <c r="B18" s="3">
        <f>ROUND(SystemOptions!L2*(1-SystemOptions!E2/100)^A18,0)</f>
      </c>
      <c r="C18" s="3">
        <f>ROUND(SystemOptions!L3*(1-SystemOptions!E3/100)^A18,0)</f>
      </c>
      <c r="D18" s="3">
        <f>ROUND(SystemOptions!L4*(1-SystemOptions!E4/100)^A18,0)</f>
      </c>
      <c r="E18" s="3">
        <f>SUM(B$2:B18)</f>
      </c>
      <c r="F18" s="3">
        <f>SUM(C$2:C18)</f>
      </c>
      <c r="G18" s="3">
        <f>SUM(D$2:D18)</f>
      </c>
    </row>
    <row r="19">
      <c r="A19">
        <v>17</v>
      </c>
      <c r="B19" s="3">
        <f>ROUND(SystemOptions!L2*(1-SystemOptions!E2/100)^A19,0)</f>
      </c>
      <c r="C19" s="3">
        <f>ROUND(SystemOptions!L3*(1-SystemOptions!E3/100)^A19,0)</f>
      </c>
      <c r="D19" s="3">
        <f>ROUND(SystemOptions!L4*(1-SystemOptions!E4/100)^A19,0)</f>
      </c>
      <c r="E19" s="3">
        <f>SUM(B$2:B19)</f>
      </c>
      <c r="F19" s="3">
        <f>SUM(C$2:C19)</f>
      </c>
      <c r="G19" s="3">
        <f>SUM(D$2:D19)</f>
      </c>
    </row>
    <row r="20">
      <c r="A20">
        <v>18</v>
      </c>
      <c r="B20" s="3">
        <f>ROUND(SystemOptions!L2*(1-SystemOptions!E2/100)^A20,0)</f>
      </c>
      <c r="C20" s="3">
        <f>ROUND(SystemOptions!L3*(1-SystemOptions!E3/100)^A20,0)</f>
      </c>
      <c r="D20" s="3">
        <f>ROUND(SystemOptions!L4*(1-SystemOptions!E4/100)^A20,0)</f>
      </c>
      <c r="E20" s="3">
        <f>SUM(B$2:B20)</f>
      </c>
      <c r="F20" s="3">
        <f>SUM(C$2:C20)</f>
      </c>
      <c r="G20" s="3">
        <f>SUM(D$2:D20)</f>
      </c>
    </row>
    <row r="21">
      <c r="A21">
        <v>19</v>
      </c>
      <c r="B21" s="3">
        <f>ROUND(SystemOptions!L2*(1-SystemOptions!E2/100)^A21,0)</f>
      </c>
      <c r="C21" s="3">
        <f>ROUND(SystemOptions!L3*(1-SystemOptions!E3/100)^A21,0)</f>
      </c>
      <c r="D21" s="3">
        <f>ROUND(SystemOptions!L4*(1-SystemOptions!E4/100)^A21,0)</f>
      </c>
      <c r="E21" s="3">
        <f>SUM(B$2:B21)</f>
      </c>
      <c r="F21" s="3">
        <f>SUM(C$2:C21)</f>
      </c>
      <c r="G21" s="3">
        <f>SUM(D$2:D21)</f>
      </c>
    </row>
    <row r="22">
      <c r="A22">
        <v>20</v>
      </c>
      <c r="B22" s="3">
        <f>ROUND(SystemOptions!L2*(1-SystemOptions!E2/100)^A22,0)</f>
      </c>
      <c r="C22" s="3">
        <f>ROUND(SystemOptions!L3*(1-SystemOptions!E3/100)^A22,0)</f>
      </c>
      <c r="D22" s="3">
        <f>ROUND(SystemOptions!L4*(1-SystemOptions!E4/100)^A22,0)</f>
      </c>
      <c r="E22" s="3">
        <f>SUM(B$2:B22)</f>
      </c>
      <c r="F22" s="3">
        <f>SUM(C$2:C22)</f>
      </c>
      <c r="G22" s="3">
        <f>SUM(D$2:D22)</f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6" customWidth="1"/>
    <col min="3" max="3" width="18" customWidth="1"/>
    <col min="4" max="4" width="18" customWidth="1"/>
    <col min="5" max="5" width="18" customWidth="1"/>
    <col min="6" max="6" width="72" customWidth="1"/>
  </cols>
  <sheetData>
    <row r="1">
      <c r="A1" t="inlineStr" s="1">
        <is>
          <t>tier</t>
        </is>
      </c>
      <c r="B1" t="inlineStr" s="1">
        <is>
          <t>quality_level</t>
        </is>
      </c>
      <c r="C1" t="inlineStr" s="1">
        <is>
          <t>cost_rub_per_kwp</t>
        </is>
      </c>
      <c r="D1" t="inlineStr" s="1">
        <is>
          <t>panel_service_life_years</t>
        </is>
      </c>
      <c r="E1" t="inlineStr" s="1">
        <is>
          <t>panel_degradation_pct_year</t>
        </is>
      </c>
      <c r="F1" t="inlineStr" s="1">
        <is>
          <t>notes</t>
        </is>
      </c>
    </row>
    <row r="2">
      <c r="A2" t="inlineStr">
        <is>
          <t>Premium</t>
        </is>
      </c>
      <c r="B2" t="inlineStr">
        <is>
          <t>premium</t>
        </is>
      </c>
      <c r="C2">
        <v>105000</v>
      </c>
      <c r="D2">
        <v>25</v>
      </c>
      <c r="E2">
        <v>0.4</v>
      </c>
      <c r="F2" t="inlineStr">
        <is>
          <t>Higher equipment and installation allowance; verify commercial offer.</t>
        </is>
      </c>
    </row>
    <row r="3">
      <c r="A3" t="inlineStr">
        <is>
          <t>Standard</t>
        </is>
      </c>
      <c r="B3" t="inlineStr">
        <is>
          <t>base</t>
        </is>
      </c>
      <c r="C3">
        <v>85000</v>
      </c>
      <c r="D3">
        <v>25</v>
      </c>
      <c r="E3">
        <v>0.5</v>
      </c>
      <c r="F3" t="inlineStr">
        <is>
          <t>Balanced default option for most customers; verify commercial offer.</t>
        </is>
      </c>
    </row>
    <row r="4">
      <c r="A4" t="inlineStr">
        <is>
          <t>Economy</t>
        </is>
      </c>
      <c r="B4" t="inlineStr">
        <is>
          <t>economy</t>
        </is>
      </c>
      <c r="C4">
        <v>70000</v>
      </c>
      <c r="D4">
        <v>20</v>
      </c>
      <c r="E4">
        <v>0.7</v>
      </c>
      <c r="F4" t="inlineStr">
        <is>
          <t>Lower cost allowance; verify component quality and warranty.</t>
        </is>
      </c>
    </row>
  </sheetData>
  <autoFilter ref="A1:F4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xSplit="0" ySplit="1" topLeftCell="A2" activePane="bottomRight" state="frozen"/>
    </sheetView>
  </sheetViews>
  <sheetFormatPr defaultRowHeight="16"/>
  <cols>
    <col min="1" max="1" width="12" customWidth="1"/>
    <col min="2" max="2" width="16" customWidth="1"/>
    <col min="3" max="3" width="16" customWidth="1"/>
    <col min="4" max="4" width="16" customWidth="1"/>
    <col min="5" max="5" width="22" customWidth="1"/>
    <col min="6" max="6" width="14" customWidth="1"/>
    <col min="7" max="7" width="16" customWidth="1"/>
    <col min="8" max="8" width="16" customWidth="1"/>
    <col min="9" max="9" width="12" customWidth="1"/>
  </cols>
  <sheetData>
    <row r="1">
      <c r="A1" t="inlineStr" s="1">
        <is>
          <t>Месяц (Month)</t>
        </is>
      </c>
      <c r="B1" t="inlineStr" s="1">
        <is>
          <t>Выработка (Generation)</t>
        </is>
      </c>
      <c r="C1" t="inlineStr" s="1">
        <is>
          <t>Потребление (Consumption)</t>
        </is>
      </c>
      <c r="D1" t="inlineStr" s="1">
        <is>
          <t>Собственное потребление (Self-consumed)</t>
        </is>
      </c>
      <c r="E1" t="inlineStr" s="1">
        <is>
          <t>Стоимость собственного потребления (Self-consumption value)</t>
        </is>
      </c>
      <c r="F1" t="inlineStr" s="1">
        <is>
          <t>Экспортировано (Exported)</t>
        </is>
      </c>
      <c r="G1" t="inlineStr" s="1">
        <is>
          <t>Стоимость экспорта (Export value)</t>
        </is>
      </c>
      <c r="H1" t="inlineStr" s="1">
        <is>
          <t>Общая стоимость (Total value)</t>
        </is>
      </c>
      <c r="I1" t="inlineStr" s="1">
        <is>
          <t>Покрытие (Coverage)</t>
        </is>
      </c>
    </row>
    <row r="2">
      <c r="A2" t="inlineStr">
        <is>
          <t>Янв (Jan)</t>
        </is>
      </c>
      <c r="B2" s="3">
        <f>ROUND(SystemOptions!L3*INDEX(MonthlyYieldProfile!B:B,MATCH(Inputs!B25,MonthlyYieldProfile!A:A,0))/100,0)</f>
      </c>
      <c r="C2" s="3">
        <f>Inputs!B29</f>
      </c>
      <c r="D2" s="3">
        <f>MIN(B2,C2,B2*Inputs!B26/100)</f>
      </c>
      <c r="E2" s="3">
        <f>ROUND(D2*Economics!B21,0)</f>
      </c>
      <c r="F2" s="3">
        <f>MAX(0,B2-D2)</f>
      </c>
      <c r="G2" s="3">
        <f>ROUND(F2*Economics!B10,0)</f>
      </c>
      <c r="H2" s="3">
        <f>E2+G2</f>
      </c>
      <c r="I2" s="3">
        <f>ROUND(B2/C2*100,0)</f>
      </c>
    </row>
    <row r="3">
      <c r="A3" t="inlineStr">
        <is>
          <t>Фев (Feb)</t>
        </is>
      </c>
      <c r="B3" s="3">
        <f>ROUND(SystemOptions!L3*INDEX(MonthlyYieldProfile!C:C,MATCH(Inputs!B25,MonthlyYieldProfile!A:A,0))/100,0)</f>
      </c>
      <c r="C3" s="3">
        <f>Inputs!B29</f>
      </c>
      <c r="D3" s="3">
        <f>MIN(B3,C3,B3*Inputs!B26/100)</f>
      </c>
      <c r="E3" s="3">
        <f>ROUND(D3*Economics!B21,0)</f>
      </c>
      <c r="F3" s="3">
        <f>MAX(0,B3-D3)</f>
      </c>
      <c r="G3" s="3">
        <f>ROUND(F3*Economics!B10,0)</f>
      </c>
      <c r="H3" s="3">
        <f>E3+G3</f>
      </c>
      <c r="I3" s="3">
        <f>ROUND(B3/C3*100,0)</f>
      </c>
    </row>
    <row r="4">
      <c r="A4" t="inlineStr">
        <is>
          <t>Мар (Mar)</t>
        </is>
      </c>
      <c r="B4" s="3">
        <f>ROUND(SystemOptions!L3*INDEX(MonthlyYieldProfile!D:D,MATCH(Inputs!B25,MonthlyYieldProfile!A:A,0))/100,0)</f>
      </c>
      <c r="C4" s="3">
        <f>Inputs!B29</f>
      </c>
      <c r="D4" s="3">
        <f>MIN(B4,C4,B4*Inputs!B26/100)</f>
      </c>
      <c r="E4" s="3">
        <f>ROUND(D4*Economics!B21,0)</f>
      </c>
      <c r="F4" s="3">
        <f>MAX(0,B4-D4)</f>
      </c>
      <c r="G4" s="3">
        <f>ROUND(F4*Economics!B10,0)</f>
      </c>
      <c r="H4" s="3">
        <f>E4+G4</f>
      </c>
      <c r="I4" s="3">
        <f>ROUND(B4/C4*100,0)</f>
      </c>
    </row>
    <row r="5">
      <c r="A5" t="inlineStr">
        <is>
          <t>Апр (Apr)</t>
        </is>
      </c>
      <c r="B5" s="3">
        <f>ROUND(SystemOptions!L3*INDEX(MonthlyYieldProfile!E:E,MATCH(Inputs!B25,MonthlyYieldProfile!A:A,0))/100,0)</f>
      </c>
      <c r="C5" s="3">
        <f>Inputs!B29</f>
      </c>
      <c r="D5" s="3">
        <f>MIN(B5,C5,B5*Inputs!B26/100)</f>
      </c>
      <c r="E5" s="3">
        <f>ROUND(D5*Economics!B21,0)</f>
      </c>
      <c r="F5" s="3">
        <f>MAX(0,B5-D5)</f>
      </c>
      <c r="G5" s="3">
        <f>ROUND(F5*Economics!B10,0)</f>
      </c>
      <c r="H5" s="3">
        <f>E5+G5</f>
      </c>
      <c r="I5" s="3">
        <f>ROUND(B5/C5*100,0)</f>
      </c>
    </row>
    <row r="6">
      <c r="A6" t="inlineStr">
        <is>
          <t>Май (May)</t>
        </is>
      </c>
      <c r="B6" s="3">
        <f>ROUND(SystemOptions!L3*INDEX(MonthlyYieldProfile!F:F,MATCH(Inputs!B25,MonthlyYieldProfile!A:A,0))/100,0)</f>
      </c>
      <c r="C6" s="3">
        <f>Inputs!B29</f>
      </c>
      <c r="D6" s="3">
        <f>MIN(B6,C6,B6*Inputs!B26/100)</f>
      </c>
      <c r="E6" s="3">
        <f>ROUND(D6*Economics!B21,0)</f>
      </c>
      <c r="F6" s="3">
        <f>MAX(0,B6-D6)</f>
      </c>
      <c r="G6" s="3">
        <f>ROUND(F6*Economics!B10,0)</f>
      </c>
      <c r="H6" s="3">
        <f>E6+G6</f>
      </c>
      <c r="I6" s="3">
        <f>ROUND(B6/C6*100,0)</f>
      </c>
    </row>
    <row r="7">
      <c r="A7" t="inlineStr">
        <is>
          <t>Июн (Jun)</t>
        </is>
      </c>
      <c r="B7" s="3">
        <f>ROUND(SystemOptions!L3*INDEX(MonthlyYieldProfile!G:G,MATCH(Inputs!B25,MonthlyYieldProfile!A:A,0))/100,0)</f>
      </c>
      <c r="C7" s="3">
        <f>Inputs!B29</f>
      </c>
      <c r="D7" s="3">
        <f>MIN(B7,C7,B7*Inputs!B26/100)</f>
      </c>
      <c r="E7" s="3">
        <f>ROUND(D7*Economics!B21,0)</f>
      </c>
      <c r="F7" s="3">
        <f>MAX(0,B7-D7)</f>
      </c>
      <c r="G7" s="3">
        <f>ROUND(F7*Economics!B10,0)</f>
      </c>
      <c r="H7" s="3">
        <f>E7+G7</f>
      </c>
      <c r="I7" s="3">
        <f>ROUND(B7/C7*100,0)</f>
      </c>
    </row>
    <row r="8">
      <c r="A8" t="inlineStr">
        <is>
          <t>Июл (Jul)</t>
        </is>
      </c>
      <c r="B8" s="3">
        <f>ROUND(SystemOptions!L3*INDEX(MonthlyYieldProfile!H:H,MATCH(Inputs!B25,MonthlyYieldProfile!A:A,0))/100,0)</f>
      </c>
      <c r="C8" s="3">
        <f>Inputs!B29</f>
      </c>
      <c r="D8" s="3">
        <f>MIN(B8,C8,B8*Inputs!B26/100)</f>
      </c>
      <c r="E8" s="3">
        <f>ROUND(D8*Economics!B21,0)</f>
      </c>
      <c r="F8" s="3">
        <f>MAX(0,B8-D8)</f>
      </c>
      <c r="G8" s="3">
        <f>ROUND(F8*Economics!B10,0)</f>
      </c>
      <c r="H8" s="3">
        <f>E8+G8</f>
      </c>
      <c r="I8" s="3">
        <f>ROUND(B8/C8*100,0)</f>
      </c>
    </row>
    <row r="9">
      <c r="A9" t="inlineStr">
        <is>
          <t>Авг (Aug)</t>
        </is>
      </c>
      <c r="B9" s="3">
        <f>ROUND(SystemOptions!L3*INDEX(MonthlyYieldProfile!I:I,MATCH(Inputs!B25,MonthlyYieldProfile!A:A,0))/100,0)</f>
      </c>
      <c r="C9" s="3">
        <f>Inputs!B29</f>
      </c>
      <c r="D9" s="3">
        <f>MIN(B9,C9,B9*Inputs!B26/100)</f>
      </c>
      <c r="E9" s="3">
        <f>ROUND(D9*Economics!B21,0)</f>
      </c>
      <c r="F9" s="3">
        <f>MAX(0,B9-D9)</f>
      </c>
      <c r="G9" s="3">
        <f>ROUND(F9*Economics!B10,0)</f>
      </c>
      <c r="H9" s="3">
        <f>E9+G9</f>
      </c>
      <c r="I9" s="3">
        <f>ROUND(B9/C9*100,0)</f>
      </c>
    </row>
    <row r="10">
      <c r="A10" t="inlineStr">
        <is>
          <t>Сен (Sep)</t>
        </is>
      </c>
      <c r="B10" s="3">
        <f>ROUND(SystemOptions!L3*INDEX(MonthlyYieldProfile!J:J,MATCH(Inputs!B25,MonthlyYieldProfile!A:A,0))/100,0)</f>
      </c>
      <c r="C10" s="3">
        <f>Inputs!B29</f>
      </c>
      <c r="D10" s="3">
        <f>MIN(B10,C10,B10*Inputs!B26/100)</f>
      </c>
      <c r="E10" s="3">
        <f>ROUND(D10*Economics!B21,0)</f>
      </c>
      <c r="F10" s="3">
        <f>MAX(0,B10-D10)</f>
      </c>
      <c r="G10" s="3">
        <f>ROUND(F10*Economics!B10,0)</f>
      </c>
      <c r="H10" s="3">
        <f>E10+G10</f>
      </c>
      <c r="I10" s="3">
        <f>ROUND(B10/C10*100,0)</f>
      </c>
    </row>
    <row r="11">
      <c r="A11" t="inlineStr">
        <is>
          <t>Окт (Oct)</t>
        </is>
      </c>
      <c r="B11" s="3">
        <f>ROUND(SystemOptions!L3*INDEX(MonthlyYieldProfile!K:K,MATCH(Inputs!B25,MonthlyYieldProfile!A:A,0))/100,0)</f>
      </c>
      <c r="C11" s="3">
        <f>Inputs!B29</f>
      </c>
      <c r="D11" s="3">
        <f>MIN(B11,C11,B11*Inputs!B26/100)</f>
      </c>
      <c r="E11" s="3">
        <f>ROUND(D11*Economics!B21,0)</f>
      </c>
      <c r="F11" s="3">
        <f>MAX(0,B11-D11)</f>
      </c>
      <c r="G11" s="3">
        <f>ROUND(F11*Economics!B10,0)</f>
      </c>
      <c r="H11" s="3">
        <f>E11+G11</f>
      </c>
      <c r="I11" s="3">
        <f>ROUND(B11/C11*100,0)</f>
      </c>
    </row>
    <row r="12">
      <c r="A12" t="inlineStr">
        <is>
          <t>Ноя (Nov)</t>
        </is>
      </c>
      <c r="B12" s="3">
        <f>ROUND(SystemOptions!L3*INDEX(MonthlyYieldProfile!L:L,MATCH(Inputs!B25,MonthlyYieldProfile!A:A,0))/100,0)</f>
      </c>
      <c r="C12" s="3">
        <f>Inputs!B29</f>
      </c>
      <c r="D12" s="3">
        <f>MIN(B12,C12,B12*Inputs!B26/100)</f>
      </c>
      <c r="E12" s="3">
        <f>ROUND(D12*Economics!B21,0)</f>
      </c>
      <c r="F12" s="3">
        <f>MAX(0,B12-D12)</f>
      </c>
      <c r="G12" s="3">
        <f>ROUND(F12*Economics!B10,0)</f>
      </c>
      <c r="H12" s="3">
        <f>E12+G12</f>
      </c>
      <c r="I12" s="3">
        <f>ROUND(B12/C12*100,0)</f>
      </c>
    </row>
    <row r="13">
      <c r="A13" t="inlineStr">
        <is>
          <t>Дек (Dec)</t>
        </is>
      </c>
      <c r="B13" s="3">
        <f>ROUND(SystemOptions!L3*INDEX(MonthlyYieldProfile!M:M,MATCH(Inputs!B25,MonthlyYieldProfile!A:A,0))/100,0)</f>
      </c>
      <c r="C13" s="3">
        <f>Inputs!B29</f>
      </c>
      <c r="D13" s="3">
        <f>MIN(B13,C13,B13*Inputs!B26/100)</f>
      </c>
      <c r="E13" s="3">
        <f>ROUND(D13*Economics!B21,0)</f>
      </c>
      <c r="F13" s="3">
        <f>MAX(0,B13-D13)</f>
      </c>
      <c r="G13" s="3">
        <f>ROUND(F13*Economics!B10,0)</f>
      </c>
      <c r="H13" s="3">
        <f>E13+G13</f>
      </c>
      <c r="I13" s="3">
        <f>ROUND(B13/C13*100,0)</f>
      </c>
    </row>
    <row r="14">
      <c r="A14" t="inlineStr">
        <is>
          <t>Итого (Total)</t>
        </is>
      </c>
      <c r="B14" s="3">
        <f>SUM(B2:B13)</f>
      </c>
      <c r="C14" s="3">
        <f>SUM(C2:C13)</f>
      </c>
      <c r="D14" s="3">
        <f>SUM(D2:D13)</f>
      </c>
      <c r="E14" s="3">
        <f>SUM(E2:E13)</f>
      </c>
      <c r="F14" s="3">
        <f>SUM(F2:F13)</f>
      </c>
      <c r="G14" s="3">
        <f>SUM(G2:G13)</f>
      </c>
      <c r="H14" s="3">
        <f>SUM(H2:H13)</f>
      </c>
      <c r="I14" s="3">
        <f>ROUND(B14/C14*100,0)</f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14" max="14" width="22" customWidth="1"/>
    <col min="15" max="15" width="78" customWidth="1"/>
  </cols>
  <sheetData>
    <row r="1">
      <c r="A1" t="inlineStr" s="1">
        <is>
          <t>region</t>
        </is>
      </c>
      <c r="B1" t="inlineStr" s="1">
        <is>
          <t>jan_pct</t>
        </is>
      </c>
      <c r="C1" t="inlineStr" s="1">
        <is>
          <t>feb_pct</t>
        </is>
      </c>
      <c r="D1" t="inlineStr" s="1">
        <is>
          <t>mar_pct</t>
        </is>
      </c>
      <c r="E1" t="inlineStr" s="1">
        <is>
          <t>apr_pct</t>
        </is>
      </c>
      <c r="F1" t="inlineStr" s="1">
        <is>
          <t>may_pct</t>
        </is>
      </c>
      <c r="G1" t="inlineStr" s="1">
        <is>
          <t>jun_pct</t>
        </is>
      </c>
      <c r="H1" t="inlineStr" s="1">
        <is>
          <t>jul_pct</t>
        </is>
      </c>
      <c r="I1" t="inlineStr" s="1">
        <is>
          <t>aug_pct</t>
        </is>
      </c>
      <c r="J1" t="inlineStr" s="1">
        <is>
          <t>sep_pct</t>
        </is>
      </c>
      <c r="K1" t="inlineStr" s="1">
        <is>
          <t>oct_pct</t>
        </is>
      </c>
      <c r="L1" t="inlineStr" s="1">
        <is>
          <t>nov_pct</t>
        </is>
      </c>
      <c r="M1" t="inlineStr" s="1">
        <is>
          <t>dec_pct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Moscow starter</t>
        </is>
      </c>
      <c r="B2">
        <v>3</v>
      </c>
      <c r="C2">
        <v>5</v>
      </c>
      <c r="D2">
        <v>8</v>
      </c>
      <c r="E2">
        <v>11</v>
      </c>
      <c r="F2">
        <v>13</v>
      </c>
      <c r="G2">
        <v>14</v>
      </c>
      <c r="H2">
        <v>14</v>
      </c>
      <c r="I2">
        <v>12</v>
      </c>
      <c r="J2">
        <v>9</v>
      </c>
      <c r="K2">
        <v>6</v>
      </c>
      <c r="L2">
        <v>3</v>
      </c>
      <c r="M2">
        <v>2</v>
      </c>
      <c r="N2" t="inlineStr">
        <is>
          <t>seed_verify_source</t>
        </is>
      </c>
      <c r="O2" t="inlineStr">
        <is>
          <t>Starter seasonal split; verify exact site with PVGIS or Global Solar Atlas.</t>
        </is>
      </c>
    </row>
    <row r="3">
      <c r="A3" t="inlineStr">
        <is>
          <t>Saint Petersburg starter</t>
        </is>
      </c>
      <c r="B3">
        <v>2</v>
      </c>
      <c r="C3">
        <v>4</v>
      </c>
      <c r="D3">
        <v>8</v>
      </c>
      <c r="E3">
        <v>11</v>
      </c>
      <c r="F3">
        <v>14</v>
      </c>
      <c r="G3">
        <v>15</v>
      </c>
      <c r="H3">
        <v>15</v>
      </c>
      <c r="I3">
        <v>12</v>
      </c>
      <c r="J3">
        <v>9</v>
      </c>
      <c r="K3">
        <v>5</v>
      </c>
      <c r="L3">
        <v>3</v>
      </c>
      <c r="M3">
        <v>2</v>
      </c>
      <c r="N3" t="inlineStr">
        <is>
          <t>seed_verify_source</t>
        </is>
      </c>
      <c r="O3" t="inlineStr">
        <is>
          <t>Starter seasonal split; verify exact site with PVGIS or Global Solar Atlas.</t>
        </is>
      </c>
    </row>
    <row r="4">
      <c r="A4" t="inlineStr">
        <is>
          <t>Krasnodar starter</t>
        </is>
      </c>
      <c r="B4">
        <v>5</v>
      </c>
      <c r="C4">
        <v>6</v>
      </c>
      <c r="D4">
        <v>9</v>
      </c>
      <c r="E4">
        <v>10</v>
      </c>
      <c r="F4">
        <v>12</v>
      </c>
      <c r="G4">
        <v>13</v>
      </c>
      <c r="H4">
        <v>13</v>
      </c>
      <c r="I4">
        <v>12</v>
      </c>
      <c r="J4">
        <v>9</v>
      </c>
      <c r="K4">
        <v>6</v>
      </c>
      <c r="L4">
        <v>4</v>
      </c>
      <c r="M4">
        <v>3</v>
      </c>
      <c r="N4" t="inlineStr">
        <is>
          <t>seed_verify_source</t>
        </is>
      </c>
      <c r="O4" t="inlineStr">
        <is>
          <t>Starter seasonal split; verify exact site with PVGIS or Global Solar Atlas.</t>
        </is>
      </c>
    </row>
    <row r="5">
      <c r="A5" t="inlineStr">
        <is>
          <t>Rostov-on-Don starter</t>
        </is>
      </c>
      <c r="B5">
        <v>4</v>
      </c>
      <c r="C5">
        <v>6</v>
      </c>
      <c r="D5">
        <v>9</v>
      </c>
      <c r="E5">
        <v>11</v>
      </c>
      <c r="F5">
        <v>12</v>
      </c>
      <c r="G5">
        <v>13</v>
      </c>
      <c r="H5">
        <v>13</v>
      </c>
      <c r="I5">
        <v>12</v>
      </c>
      <c r="J5">
        <v>9</v>
      </c>
      <c r="K5">
        <v>6</v>
      </c>
      <c r="L5">
        <v>3</v>
      </c>
      <c r="M5">
        <v>2</v>
      </c>
      <c r="N5" t="inlineStr">
        <is>
          <t>seed_verify_source</t>
        </is>
      </c>
      <c r="O5" t="inlineStr">
        <is>
          <t>Starter seasonal split; verify exact site with PVGIS or Global Solar Atlas.</t>
        </is>
      </c>
    </row>
    <row r="6">
      <c r="A6" t="inlineStr">
        <is>
          <t>Yekaterinburg starter</t>
        </is>
      </c>
      <c r="B6">
        <v>3</v>
      </c>
      <c r="C6">
        <v>5</v>
      </c>
      <c r="D6">
        <v>9</v>
      </c>
      <c r="E6">
        <v>11</v>
      </c>
      <c r="F6">
        <v>13</v>
      </c>
      <c r="G6">
        <v>14</v>
      </c>
      <c r="H6">
        <v>14</v>
      </c>
      <c r="I6">
        <v>11</v>
      </c>
      <c r="J6">
        <v>9</v>
      </c>
      <c r="K6">
        <v>6</v>
      </c>
      <c r="L6">
        <v>3</v>
      </c>
      <c r="M6">
        <v>2</v>
      </c>
      <c r="N6" t="inlineStr">
        <is>
          <t>seed_verify_source</t>
        </is>
      </c>
      <c r="O6" t="inlineStr">
        <is>
          <t>Starter seasonal split; verify exact site with PVGIS or Global Solar Atlas.</t>
        </is>
      </c>
    </row>
  </sheetData>
  <autoFilter ref="A1:O6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</sheetView>
  </sheetViews>
  <sheetFormatPr defaultRowHeight="16"/>
  <cols>
    <col min="1" max="1" width="14" customWidth="1"/>
    <col min="2" max="2" width="14" customWidth="1"/>
    <col min="3" max="3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</sheetData>
  <autoFilter ref="A1:C1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  <row r="14">
      <c r="A14" t="inlineStr">
        <is>
          <t>PV cable red</t>
        </is>
      </c>
      <c r="B14" t="inlineStr">
        <is>
          <t>DC cable</t>
        </is>
      </c>
      <c r="C14">
        <v>0</v>
      </c>
      <c r="D14" t="inlineStr">
        <is>
          <t>m</t>
        </is>
      </c>
      <c r="E14" t="inlineStr">
        <is>
          <t>user_input</t>
        </is>
      </c>
      <c r="F14" t="inlineStr">
        <is>
          <t>Positive DC cable length; user-defined route length.</t>
        </is>
      </c>
    </row>
    <row r="15">
      <c r="A15" t="inlineStr">
        <is>
          <t>PV cable black</t>
        </is>
      </c>
      <c r="B15" t="inlineStr">
        <is>
          <t>DC cable</t>
        </is>
      </c>
      <c r="C15">
        <v>0</v>
      </c>
      <c r="D15" t="inlineStr">
        <is>
          <t>m</t>
        </is>
      </c>
      <c r="E15" t="inlineStr">
        <is>
          <t>user_input</t>
        </is>
      </c>
      <c r="F15" t="inlineStr">
        <is>
          <t>Negative DC cable length; user-defined route length.</t>
        </is>
      </c>
    </row>
    <row r="16">
      <c r="A16" t="inlineStr">
        <is>
          <t>PE cable</t>
        </is>
      </c>
      <c r="B16" t="inlineStr">
        <is>
          <t>Grounding cable</t>
        </is>
      </c>
      <c r="C16">
        <v>0</v>
      </c>
      <c r="D16" t="inlineStr">
        <is>
          <t>m</t>
        </is>
      </c>
      <c r="E16" t="inlineStr">
        <is>
          <t>user_input</t>
        </is>
      </c>
      <c r="F16" t="inlineStr">
        <is>
          <t>Protective earth cable length; user-defined route length.</t>
        </is>
      </c>
    </row>
    <row r="17">
      <c r="A17" t="inlineStr">
        <is>
          <t>DC string fuse</t>
        </is>
      </c>
      <c r="B17" t="inlineStr">
        <is>
          <t>DC protection</t>
        </is>
      </c>
      <c r="C17">
        <v>0</v>
      </c>
      <c r="D17" t="inlineStr">
        <is>
          <t>pcs</t>
        </is>
      </c>
      <c r="E17" t="inlineStr">
        <is>
          <t>strings_per_mppt_gt_1</t>
        </is>
      </c>
      <c r="F17" t="inlineStr">
        <is>
          <t>Use when parallel strings are connected; verify by module Isc and local rules.</t>
        </is>
      </c>
    </row>
    <row r="18">
      <c r="A18" t="inlineStr">
        <is>
          <t>DC isolator</t>
        </is>
      </c>
      <c r="B18" t="inlineStr">
        <is>
          <t>DC protection</t>
        </is>
      </c>
      <c r="C18">
        <v>1</v>
      </c>
      <c r="D18" t="inlineStr">
        <is>
          <t>pcs</t>
        </is>
      </c>
      <c r="E18" t="inlineStr">
        <is>
          <t>one_per_inverter</t>
        </is>
      </c>
      <c r="F18" t="inlineStr">
        <is>
          <t>DC isolator or switch-disconnector; verify inverter built-in equipment.</t>
        </is>
      </c>
    </row>
    <row r="19">
      <c r="A19" t="inlineStr">
        <is>
          <t>DC SPD Type 2</t>
        </is>
      </c>
      <c r="B19" t="inlineStr">
        <is>
          <t>DC protection</t>
        </is>
      </c>
      <c r="C19">
        <v>1</v>
      </c>
      <c r="D19" t="inlineStr">
        <is>
          <t>pcs</t>
        </is>
      </c>
      <c r="E19" t="inlineStr">
        <is>
          <t>one_per_array</t>
        </is>
      </c>
      <c r="F19" t="inlineStr">
        <is>
          <t>DC surge protection starter assumption.</t>
        </is>
      </c>
    </row>
    <row r="20">
      <c r="A20" t="inlineStr">
        <is>
          <t>AC breaker</t>
        </is>
      </c>
      <c r="B20" t="inlineStr">
        <is>
          <t>AC protection</t>
        </is>
      </c>
      <c r="C20">
        <v>1</v>
      </c>
      <c r="D20" t="inlineStr">
        <is>
          <t>pcs</t>
        </is>
      </c>
      <c r="E20" t="inlineStr">
        <is>
          <t>one_per_inverter</t>
        </is>
      </c>
      <c r="F20" t="inlineStr">
        <is>
          <t>AC breaker rating must be selected by inverter output current and local rules.</t>
        </is>
      </c>
    </row>
    <row r="21">
      <c r="A21" t="inlineStr">
        <is>
          <t>AC SPD Type 2</t>
        </is>
      </c>
      <c r="B21" t="inlineStr">
        <is>
          <t>AC protection</t>
        </is>
      </c>
      <c r="C21">
        <v>1</v>
      </c>
      <c r="D21" t="inlineStr">
        <is>
          <t>pcs</t>
        </is>
      </c>
      <c r="E21" t="inlineStr">
        <is>
          <t>one_per_system</t>
        </is>
      </c>
      <c r="F21" t="inlineStr">
        <is>
          <t>AC surge protection starter assumption.</t>
        </is>
      </c>
    </row>
    <row r="22">
      <c r="A22" t="inlineStr">
        <is>
          <t>AC cable</t>
        </is>
      </c>
      <c r="B22" t="inlineStr">
        <is>
          <t>AC cable</t>
        </is>
      </c>
      <c r="C22">
        <v>0</v>
      </c>
      <c r="D22" t="inlineStr">
        <is>
          <t>m</t>
        </is>
      </c>
      <c r="E22" t="inlineStr">
        <is>
          <t>user_input</t>
        </is>
      </c>
      <c r="F22" t="inlineStr">
        <is>
          <t>AC cable length; user-defined route length.</t>
        </is>
      </c>
    </row>
    <row r="23">
      <c r="A23" t="inlineStr">
        <is>
          <t>Battery DC cable pair</t>
        </is>
      </c>
      <c r="B23" t="inlineStr">
        <is>
          <t>Battery cable</t>
        </is>
      </c>
      <c r="C23">
        <v>1</v>
      </c>
      <c r="D23" t="inlineStr">
        <is>
          <t>pair</t>
        </is>
      </c>
      <c r="E23" t="inlineStr">
        <is>
          <t>one_per_battery_stack</t>
        </is>
      </c>
      <c r="F23" t="inlineStr">
        <is>
          <t>Battery cable pair starter assumption.</t>
        </is>
      </c>
    </row>
    <row r="24">
      <c r="A24" t="inlineStr">
        <is>
          <t>Battery fuse or breaker</t>
        </is>
      </c>
      <c r="B24" t="inlineStr">
        <is>
          <t>Battery protection</t>
        </is>
      </c>
      <c r="C24">
        <v>1</v>
      </c>
      <c r="D24" t="inlineStr">
        <is>
          <t>pcs</t>
        </is>
      </c>
      <c r="E24" t="inlineStr">
        <is>
          <t>one_per_battery_stack</t>
        </is>
      </c>
      <c r="F24" t="inlineStr">
        <is>
          <t>Battery protection must be selected by battery/inverter current.</t>
        </is>
      </c>
    </row>
  </sheetData>
  <autoFilter ref="A1:C24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0" ySplit="1" topLeftCell="A2" activePane="bottomRight" state="frozen"/>
    </sheetView>
  </sheetViews>
  <sheetFormatPr defaultRowHeight="16"/>
  <cols>
    <col min="1" max="1" width="28" customWidth="1"/>
    <col min="2" max="2" width="34" customWidth="1"/>
    <col min="3" max="3" width="78" customWidth="1"/>
  </cols>
  <sheetData>
    <row r="1">
      <c r="A1" t="inlineStr" s="1">
        <is>
          <t>condition</t>
        </is>
      </c>
      <c r="B1" t="inlineStr" s="1">
        <is>
          <t>recommended_spd</t>
        </is>
      </c>
      <c r="C1" t="inlineStr" s="1">
        <is>
          <t>notes</t>
        </is>
      </c>
    </row>
    <row r="2">
      <c r="A2" t="inlineStr">
        <is>
          <t>No external LPS</t>
        </is>
      </c>
      <c r="B2" t="inlineStr">
        <is>
          <t>Type 2 DC/AC SPD</t>
        </is>
      </c>
      <c r="C2" t="inlineStr">
        <is>
          <t>Starter residential/commercial assumption; verify risk assessment and local standards.</t>
        </is>
      </c>
    </row>
    <row r="3">
      <c r="A3" t="inlineStr">
        <is>
          <t>External LPS</t>
        </is>
      </c>
      <c r="B3" t="inlineStr">
        <is>
          <t>Type 1+2 DC/AC SPD</t>
        </is>
      </c>
      <c r="C3" t="inlineStr">
        <is>
          <t>Use when building has external lightning protection system; verify coordination.</t>
        </is>
      </c>
    </row>
    <row r="4">
      <c r="A4" t="inlineStr">
        <is>
          <t>Overhead supply</t>
        </is>
      </c>
      <c r="B4" t="inlineStr">
        <is>
          <t>Type 1+2 AC SPD</t>
        </is>
      </c>
      <c r="C4" t="inlineStr">
        <is>
          <t>Often required on AC side with overhead supply; verify utility and standards.</t>
        </is>
      </c>
    </row>
    <row r="5">
      <c r="A5" t="inlineStr">
        <is>
          <t>Long outdoor DC route</t>
        </is>
      </c>
      <c r="B5" t="inlineStr">
        <is>
          <t>Type 2 DC SPD near inverter and array</t>
        </is>
      </c>
      <c r="C5" t="inlineStr">
        <is>
          <t>May require additional SPD placement; verify cable route and inverter manual.</t>
        </is>
      </c>
    </row>
  </sheetData>
  <autoFilter ref="A1:C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34" customWidth="1"/>
    <col min="3" max="3" width="78" customWidth="1"/>
  </cols>
  <sheetData>
    <row r="1">
      <c r="A1" t="inlineStr" s="1">
        <is>
          <t>earthing_system</t>
        </is>
      </c>
      <c r="B1" t="inlineStr" s="1">
        <is>
          <t>starter_requirement</t>
        </is>
      </c>
      <c r="C1" t="inlineStr" s="1">
        <is>
          <t>notes</t>
        </is>
      </c>
    </row>
    <row r="2">
      <c r="A2" t="inlineStr">
        <is>
          <t>TN-S</t>
        </is>
      </c>
      <c r="B2" t="inlineStr">
        <is>
          <t>PE continuity and bonding check</t>
        </is>
      </c>
      <c r="C2" t="inlineStr">
        <is>
          <t>Verify PE conductor sizing</t>
        </is>
      </c>
      <c r="D2" t="inlineStr">
        <is>
          <t> equipotential bonding</t>
        </is>
      </c>
      <c r="E2" t="inlineStr">
        <is>
          <t> and SPD connection length.</t>
        </is>
      </c>
    </row>
    <row r="3">
      <c r="A3" t="inlineStr">
        <is>
          <t>TN-C-S</t>
        </is>
      </c>
      <c r="B3" t="inlineStr">
        <is>
          <t>Separate PEN/PE handling check</t>
        </is>
      </c>
      <c r="C3" t="inlineStr">
        <is>
          <t>Verify local rules for PV connection</t>
        </is>
      </c>
      <c r="D3" t="inlineStr">
        <is>
          <t> bonding</t>
        </is>
      </c>
      <c r="E3" t="inlineStr">
        <is>
          <t> and SPD earthing.</t>
        </is>
      </c>
    </row>
    <row r="4">
      <c r="A4" t="inlineStr">
        <is>
          <t>TT</t>
        </is>
      </c>
      <c r="B4" t="inlineStr">
        <is>
          <t>RCD and earth electrode check</t>
        </is>
      </c>
      <c r="C4" t="inlineStr">
        <is>
          <t>Verify electrode resistance</t>
        </is>
      </c>
      <c r="D4" t="inlineStr">
        <is>
          <t> RCD coordination</t>
        </is>
      </c>
      <c r="E4" t="inlineStr">
        <is>
          <t> and SPD discharge path.</t>
        </is>
      </c>
    </row>
    <row r="5">
      <c r="A5" t="inlineStr">
        <is>
          <t>IT</t>
        </is>
      </c>
      <c r="B5" t="inlineStr">
        <is>
          <t>Special protection study required</t>
        </is>
      </c>
      <c r="C5" t="inlineStr">
        <is>
          <t>Do not use starter assumptions without engineering verification.</t>
        </is>
      </c>
    </row>
  </sheetData>
  <autoFilter ref="A1:C5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6"/>
  <cols>
    <col min="1" max="1" width="24" customWidth="1"/>
    <col min="2" max="2" width="28" customWidth="1"/>
    <col min="3" max="3" width="16" customWidth="1"/>
    <col min="4" max="4" width="78" customWidth="1"/>
  </cols>
  <sheetData>
    <row r="1">
      <c r="A1" t="inlineStr" s="1">
        <is>
          <t>factor_type</t>
        </is>
      </c>
      <c r="B1" t="inlineStr" s="1">
        <is>
          <t>option</t>
        </is>
      </c>
      <c r="C1" t="inlineStr" s="1">
        <is>
          <t>default_factor</t>
        </is>
      </c>
      <c r="D1" t="inlineStr" s="1">
        <is>
          <t>notes</t>
        </is>
      </c>
    </row>
    <row r="2">
      <c r="A2" t="inlineStr">
        <is>
          <t>installation_method</t>
        </is>
      </c>
      <c r="B2" t="inlineStr">
        <is>
          <t>Open air</t>
        </is>
      </c>
      <c r="C2">
        <v>1</v>
      </c>
      <c r="D2" t="inlineStr">
        <is>
          <t>Starter assumption for ventilated cable routes; verify local tables.</t>
        </is>
      </c>
    </row>
    <row r="3">
      <c r="A3" t="inlineStr">
        <is>
          <t>installation_method</t>
        </is>
      </c>
      <c r="B3" t="inlineStr">
        <is>
          <t>Conduit or trunking</t>
        </is>
      </c>
      <c r="C3">
        <v>0.85</v>
      </c>
      <c r="D3" t="inlineStr">
        <is>
          <t>Starter derating for enclosed routes; verify local tables.</t>
        </is>
      </c>
    </row>
    <row r="4">
      <c r="A4" t="inlineStr">
        <is>
          <t>installation_method</t>
        </is>
      </c>
      <c r="B4" t="inlineStr">
        <is>
          <t>Thermal insulation</t>
        </is>
      </c>
      <c r="C4">
        <v>0.65</v>
      </c>
      <c r="D4" t="inlineStr">
        <is>
          <t>High derating risk; verify local tables.</t>
        </is>
      </c>
    </row>
    <row r="5">
      <c r="A5" t="inlineStr">
        <is>
          <t>grouping</t>
        </is>
      </c>
      <c r="B5" t="inlineStr">
        <is>
          <t>Single circuit</t>
        </is>
      </c>
      <c r="C5">
        <v>1</v>
      </c>
      <c r="D5" t="inlineStr">
        <is>
          <t>No grouping derating applied.</t>
        </is>
      </c>
    </row>
    <row r="6">
      <c r="A6" t="inlineStr">
        <is>
          <t>grouping</t>
        </is>
      </c>
      <c r="B6" t="inlineStr">
        <is>
          <t>Several circuits</t>
        </is>
      </c>
      <c r="C6">
        <v>0.8</v>
      </c>
      <c r="D6" t="inlineStr">
        <is>
          <t>Starter grouping derating; verify actual routing.</t>
        </is>
      </c>
    </row>
    <row r="7">
      <c r="A7" t="inlineStr">
        <is>
          <t>temperature</t>
        </is>
      </c>
      <c r="B7" t="inlineStr">
        <is>
          <t>Standard ambient</t>
        </is>
      </c>
      <c r="C7">
        <v>1</v>
      </c>
      <c r="D7" t="inlineStr">
        <is>
          <t>Starter assumption.</t>
        </is>
      </c>
    </row>
    <row r="8">
      <c r="A8" t="inlineStr">
        <is>
          <t>temperature</t>
        </is>
      </c>
      <c r="B8" t="inlineStr">
        <is>
          <t>High ambient</t>
        </is>
      </c>
      <c r="C8">
        <v>0.87</v>
      </c>
      <c r="D8" t="inlineStr">
        <is>
          <t>Starter derating for hot environments; verify cable rating.</t>
        </is>
      </c>
    </row>
  </sheetData>
  <autoFilter ref="A1:D8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  <row r="34">
      <c r="A34" t="inlineStr">
        <is>
          <t>Ground mount</t>
        </is>
      </c>
      <c r="B34" t="inlineStr">
        <is>
          <t>Ground post</t>
        </is>
      </c>
      <c r="C34">
        <v>0</v>
      </c>
      <c r="D34">
        <v>0</v>
      </c>
      <c r="E34">
        <v>2</v>
      </c>
      <c r="F34">
        <v>0</v>
      </c>
      <c r="G34">
        <v>0</v>
      </c>
      <c r="H34">
        <v>0</v>
      </c>
      <c r="I34">
        <v>1</v>
      </c>
      <c r="J34" t="inlineStr">
        <is>
          <t>Two ground posts per row as starter assumption; verify soil and wind load.</t>
        </is>
      </c>
    </row>
    <row r="35">
      <c r="A35" t="inlineStr">
        <is>
          <t>Ground mount</t>
        </is>
      </c>
      <c r="B35" t="inlineStr">
        <is>
          <t>Ground rail</t>
        </is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1</v>
      </c>
      <c r="J35" t="inlineStr">
        <is>
          <t>Two rails per panel row equivalent for ground structure.</t>
        </is>
      </c>
    </row>
    <row r="36">
      <c r="A36" t="inlineStr">
        <is>
          <t>Ground mount</t>
        </is>
      </c>
      <c r="B36" t="inlineStr">
        <is>
          <t>Rail connector</t>
        </is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1</v>
      </c>
      <c r="J36" t="inlineStr">
        <is>
          <t>Two connectors per rail joint.</t>
        </is>
      </c>
    </row>
    <row r="37">
      <c r="A37" t="inlineStr">
        <is>
          <t>Ground mount</t>
        </is>
      </c>
      <c r="B37" t="inlineStr">
        <is>
          <t>End clamp</t>
        </is>
      </c>
      <c r="C37">
        <v>0</v>
      </c>
      <c r="D37">
        <v>0</v>
      </c>
      <c r="E37">
        <v>4</v>
      </c>
      <c r="F37">
        <v>0</v>
      </c>
      <c r="G37">
        <v>0</v>
      </c>
      <c r="H37">
        <v>0</v>
      </c>
      <c r="I37">
        <v>1</v>
      </c>
      <c r="J37" t="inlineStr">
        <is>
          <t>Four end clamps per row.</t>
        </is>
      </c>
    </row>
    <row r="38">
      <c r="A38" t="inlineStr">
        <is>
          <t>Ground mount</t>
        </is>
      </c>
      <c r="B38" t="inlineStr">
        <is>
          <t>Middle clamp</t>
        </is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1</v>
      </c>
      <c r="J38" t="inlineStr">
        <is>
          <t>Two middle clamps per panel gap.</t>
        </is>
      </c>
    </row>
    <row r="39">
      <c r="A39" t="inlineStr">
        <is>
          <t>Ground mount</t>
        </is>
      </c>
      <c r="B39" t="inlineStr">
        <is>
          <t>Bolt set</t>
        </is>
      </c>
      <c r="C39">
        <v>0</v>
      </c>
      <c r="D39">
        <v>6</v>
      </c>
      <c r="E39">
        <v>0</v>
      </c>
      <c r="F39">
        <v>0</v>
      </c>
      <c r="G39">
        <v>0</v>
      </c>
      <c r="H39">
        <v>0</v>
      </c>
      <c r="I39">
        <v>1</v>
      </c>
      <c r="J39" t="inlineStr">
        <is>
          <t>Starter fastener set allowance for ground structure.</t>
        </is>
      </c>
    </row>
    <row r="40">
      <c r="A40" t="inlineStr">
        <is>
          <t>Ground mount</t>
        </is>
      </c>
      <c r="B40" t="inlineStr">
        <is>
          <t>Grounding clip</t>
        </is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 t="inlineStr">
        <is>
          <t>One grounding clip per module.</t>
        </is>
      </c>
    </row>
    <row r="41">
      <c r="A41" t="inlineStr">
        <is>
          <t>Ground mount</t>
        </is>
      </c>
      <c r="B41" t="inlineStr">
        <is>
          <t>Cable clip</t>
        </is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1</v>
      </c>
      <c r="J41" t="inlineStr">
        <is>
          <t>Two cable clips per module.</t>
        </is>
      </c>
    </row>
  </sheetData>
  <autoFilter ref="A1:J4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4" customWidth="1"/>
    <col min="3" max="3" width="42" customWidth="1"/>
    <col min="4" max="4" width="22" customWidth="1"/>
    <col min="5" max="5" width="78" customWidth="1"/>
  </cols>
  <sheetData>
    <row r="1">
      <c r="A1" t="inlineStr" s="1">
        <is>
          <t>region</t>
        </is>
      </c>
      <c r="B1" t="inlineStr" s="1">
        <is>
          <t>specific_yield_kwh_per_kwp_year</t>
        </is>
      </c>
      <c r="C1" t="inlineStr" s="1">
        <is>
          <t>source_url</t>
        </is>
      </c>
      <c r="D1" t="inlineStr" s="1">
        <is>
          <t>data_status</t>
        </is>
      </c>
      <c r="E1" t="inlineStr" s="1">
        <is>
          <t>notes</t>
        </is>
      </c>
    </row>
    <row r="2">
      <c r="A2" t="inlineStr">
        <is>
          <t>Moscow starter</t>
        </is>
      </c>
      <c r="B2">
        <v>950</v>
      </c>
      <c r="C2" t="inlineStr">
        <is>
          <t>https://globalsolaratlas.info/</t>
        </is>
      </c>
      <c r="D2" t="inlineStr">
        <is>
          <t>seed_verify_source</t>
        </is>
      </c>
      <c r="E2" t="inlineStr">
        <is>
          <t>Starter annual yield assumption; verify exact site with PVGIS or Global Solar Atlas.</t>
        </is>
      </c>
    </row>
    <row r="3">
      <c r="A3" t="inlineStr">
        <is>
          <t>Saint Petersburg starter</t>
        </is>
      </c>
      <c r="B3">
        <v>850</v>
      </c>
      <c r="C3" t="inlineStr">
        <is>
          <t>https://globalsolaratlas.info/</t>
        </is>
      </c>
      <c r="D3" t="inlineStr">
        <is>
          <t>seed_verify_source</t>
        </is>
      </c>
      <c r="E3" t="inlineStr">
        <is>
          <t>Starter annual yield assumption; verify exact site with PVGIS or Global Solar Atlas.</t>
        </is>
      </c>
    </row>
    <row r="4">
      <c r="A4" t="inlineStr">
        <is>
          <t>Krasnodar starter</t>
        </is>
      </c>
      <c r="B4">
        <v>1300</v>
      </c>
      <c r="C4" t="inlineStr">
        <is>
          <t>https://globalsolaratlas.info/</t>
        </is>
      </c>
      <c r="D4" t="inlineStr">
        <is>
          <t>seed_verify_source</t>
        </is>
      </c>
      <c r="E4" t="inlineStr">
        <is>
          <t>Starter annual yield assumption; verify exact site with PVGIS or Global Solar Atlas.</t>
        </is>
      </c>
    </row>
    <row r="5">
      <c r="A5" t="inlineStr">
        <is>
          <t>Rostov-on-Don starter</t>
        </is>
      </c>
      <c r="B5">
        <v>1250</v>
      </c>
      <c r="C5" t="inlineStr">
        <is>
          <t>https://globalsolaratlas.info/</t>
        </is>
      </c>
      <c r="D5" t="inlineStr">
        <is>
          <t>seed_verify_source</t>
        </is>
      </c>
      <c r="E5" t="inlineStr">
        <is>
          <t>Starter annual yield assumption; verify exact site with PVGIS or Global Solar Atlas.</t>
        </is>
      </c>
    </row>
    <row r="6">
      <c r="A6" t="inlineStr">
        <is>
          <t>Yekaterinburg starter</t>
        </is>
      </c>
      <c r="B6">
        <v>1050</v>
      </c>
      <c r="C6" t="inlineStr">
        <is>
          <t>https://globalsolaratlas.info/</t>
        </is>
      </c>
      <c r="D6" t="inlineStr">
        <is>
          <t>seed_verify_source</t>
        </is>
      </c>
      <c r="E6" t="inlineStr">
        <is>
          <t>Starter annual yield assumption; verify exact site with PVGIS or Global Solar Atlas.</t>
        </is>
      </c>
    </row>
  </sheetData>
  <autoFilter ref="A1:E6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0" customWidth="1"/>
    <col min="3" max="3" width="22" customWidth="1"/>
    <col min="4" max="4" width="42" customWidth="1"/>
    <col min="5" max="5" width="42" customWidth="1"/>
    <col min="6" max="6" width="22" customWidth="1"/>
    <col min="7" max="7" width="78" customWidth="1"/>
  </cols>
  <sheetData>
    <row r="1">
      <c r="A1" t="inlineStr" s="1">
        <is>
          <t>region</t>
        </is>
      </c>
      <c r="B1" t="inlineStr" s="1">
        <is>
          <t>retail_tariff_rub_kwh</t>
        </is>
      </c>
      <c r="C1" t="inlineStr" s="1">
        <is>
          <t>export_tariff_rub_kwh</t>
        </is>
      </c>
      <c r="D1" t="inlineStr" s="1">
        <is>
          <t>retail_source_url</t>
        </is>
      </c>
      <c r="E1" t="inlineStr" s="1">
        <is>
          <t>export_source_url</t>
        </is>
      </c>
      <c r="F1" t="inlineStr" s="1">
        <is>
          <t>data_status</t>
        </is>
      </c>
      <c r="G1" t="inlineStr" s="1">
        <is>
          <t>notes</t>
        </is>
      </c>
    </row>
    <row r="2">
      <c r="A2" t="inlineStr">
        <is>
          <t>Moscow starter</t>
        </is>
      </c>
      <c r="B2">
        <v>8.5</v>
      </c>
      <c r="C2">
        <v>3.5</v>
      </c>
      <c r="D2" t="inlineStr">
        <is>
          <t>https://www.mosenergosbyt.ru/</t>
        </is>
      </c>
      <c r="E2" t="inlineStr">
        <is>
          <t>https://www.atsenergo.ru/</t>
        </is>
      </c>
      <c r="F2" t="inlineStr">
        <is>
          <t>seed_verify_source</t>
        </is>
      </c>
      <c r="G2" t="inlineStr">
        <is>
          <t>Retail tariff: verify with regional supplier/regulator. Export price: verify through ATS market-price data used for microgeneration surplus purchase.</t>
        </is>
      </c>
    </row>
    <row r="3">
      <c r="A3" t="inlineStr">
        <is>
          <t>Saint Petersburg starter</t>
        </is>
      </c>
      <c r="B3">
        <v>7.8</v>
      </c>
      <c r="C3">
        <v>3.3</v>
      </c>
      <c r="D3" t="inlineStr">
        <is>
          <t>https://www.pes.spb.ru/</t>
        </is>
      </c>
      <c r="E3" t="inlineStr">
        <is>
          <t>https://www.atsenergo.ru/</t>
        </is>
      </c>
      <c r="F3" t="inlineStr">
        <is>
          <t>seed_verify_source</t>
        </is>
      </c>
      <c r="G3" t="inlineStr">
        <is>
          <t>Retail tariff: verify with regional supplier/regulator. Export price: verify through ATS market-price data used for microgeneration surplus purchase.</t>
        </is>
      </c>
    </row>
    <row r="4">
      <c r="A4" t="inlineStr">
        <is>
          <t>Krasnodar starter</t>
        </is>
      </c>
      <c r="B4">
        <v>7.2</v>
      </c>
      <c r="C4">
        <v>3.2</v>
      </c>
      <c r="D4" t="inlineStr">
        <is>
          <t>https://kuban.tns-e.ru/</t>
        </is>
      </c>
      <c r="E4" t="inlineStr">
        <is>
          <t>https://www.atsenergo.ru/</t>
        </is>
      </c>
      <c r="F4" t="inlineStr">
        <is>
          <t>seed_verify_source</t>
        </is>
      </c>
      <c r="G4" t="inlineStr">
        <is>
          <t>Retail tariff: verify with regional supplier/regulator. Export price: verify through ATS market-price data used for microgeneration surplus purchase.</t>
        </is>
      </c>
    </row>
    <row r="5">
      <c r="A5" t="inlineStr">
        <is>
          <t>Rostov-on-Don starter</t>
        </is>
      </c>
      <c r="B5">
        <v>7.3</v>
      </c>
      <c r="C5">
        <v>3.2</v>
      </c>
      <c r="D5" t="inlineStr">
        <is>
          <t>https://rostov.tns-e.ru/</t>
        </is>
      </c>
      <c r="E5" t="inlineStr">
        <is>
          <t>https://www.atsenergo.ru/</t>
        </is>
      </c>
      <c r="F5" t="inlineStr">
        <is>
          <t>seed_verify_source</t>
        </is>
      </c>
      <c r="G5" t="inlineStr">
        <is>
          <t>Retail tariff: verify with regional supplier/regulator. Export price: verify through ATS market-price data used for microgeneration surplus purchase.</t>
        </is>
      </c>
    </row>
    <row r="6">
      <c r="A6" t="inlineStr">
        <is>
          <t>Yekaterinburg starter</t>
        </is>
      </c>
      <c r="B6">
        <v>7.0</v>
      </c>
      <c r="C6">
        <v>3.1</v>
      </c>
      <c r="D6" t="inlineStr">
        <is>
          <t>https://ekb.esplus.ru/</t>
        </is>
      </c>
      <c r="E6" t="inlineStr">
        <is>
          <t>https://www.atsenergo.ru/</t>
        </is>
      </c>
      <c r="F6" t="inlineStr">
        <is>
          <t>seed_verify_source</t>
        </is>
      </c>
      <c r="G6" t="inlineStr">
        <is>
          <t>Retail tariff: verify with regional supplier/regulator. Export price: verify through ATS market-price data used for microgeneration surplus purchase.</t>
        </is>
      </c>
    </row>
  </sheetData>
  <autoFilter ref="A1:G6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Матрица совместимости (Compatibility Matrix)</t>
        </is>
      </c>
      <c r="B1" t="inlineStr" s="1">
        <is>
          <t>Статус (Status)</t>
        </is>
      </c>
      <c r="C1" t="inlineStr" s="1">
        <is>
          <t>Причина (Reason)</t>
        </is>
      </c>
      <c r="D1" t="inlineStr" s="1">
        <is>
          <t>Источник (Source)</t>
        </is>
      </c>
    </row>
    <row r="2">
      <c r="A2" t="inlineStr">
        <is>
          <t>Выбранный инвертор (Selected inverter)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Выбранная панель (Selected panel)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Выбранная АКБ (Selected battery)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Напряжение/ток PV (PV voltage/current)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Совместимость АКБ (Battery compatibility)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Полнота данных (Data completeness)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Общая совместимость (Overall compatibility)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Сводный результат (Combined result)</t>
        </is>
      </c>
    </row>
    <row r="9"/>
    <row r="10">
      <c r="A10" t="inlineStr" s="1">
        <is>
          <t>Проверка (Check)</t>
        </is>
      </c>
      <c r="B10" t="inlineStr" s="1">
        <is>
          <t>Статус (Status)</t>
        </is>
      </c>
      <c r="C10" t="inlineStr" s="1">
        <is>
          <t>Причина (Reason)</t>
        </is>
      </c>
      <c r="D10" t="inlineStr" s="1">
        <is>
          <t>Следующее действие (Next action)</t>
        </is>
      </c>
    </row>
    <row r="11">
      <c r="A11" t="inlineStr">
        <is>
          <t>Холодный Voc против max PV voltage (Cold Voc vs max PV voltage)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Изменить панели в строке или инвертор (Adjust panels per string or inverter)</t>
        </is>
      </c>
    </row>
    <row r="12">
      <c r="A12" t="inlineStr">
        <is>
          <t>Горячий Vmp против диапазона MPPT (Hot Vmp vs MPPT range)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Изменить панели в строке (Adjust panels per string)</t>
        </is>
      </c>
    </row>
    <row r="13">
      <c r="A13" t="inlineStr">
        <is>
          <t>Ток панели против тока MPPT (Panel current vs MPPT current)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Изменить строки на MPPT или инвертор (Adjust strings per MPPT or inverter)</t>
        </is>
      </c>
    </row>
    <row r="14">
      <c r="A14" t="inlineStr">
        <is>
          <t>Протокол АКБ (Battery protocol)</t>
        </is>
      </c>
      <c r="B14" s="3">
        <f>B6</f>
      </c>
      <c r="C14">
        <f>Results!B30</f>
      </c>
      <c r="D14" t="inlineStr">
        <is>
          <t>Проверить настройки CAN/RS485 (Verify CAN/RS485 settings)</t>
        </is>
      </c>
    </row>
    <row r="15">
      <c r="A15" t="inlineStr">
        <is>
          <t>Требуемые данные datasheet (Required datasheet data)</t>
        </is>
      </c>
      <c r="B15" s="3">
        <f>B7</f>
      </c>
      <c r="C15">
        <f>C7</f>
      </c>
      <c r="D15" t="inlineStr">
        <is>
          <t>Заполнить недостающие поля базы (Fill missing database fields)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