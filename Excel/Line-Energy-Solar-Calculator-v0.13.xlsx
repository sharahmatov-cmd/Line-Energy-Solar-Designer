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Summary" sheetId="1" r:id="rId1"/>
    <sheet name="Inputs" sheetId="2" r:id="rId2"/>
    <sheet name="Results" sheetId="3" r:id="rId3"/>
    <sheet name="Inverters" sheetId="4" r:id="rId4"/>
    <sheet name="Panels" sheetId="5" r:id="rId5"/>
    <sheet name="Batteries" sheetId="6" r:id="rId6"/>
    <sheet name="Mounting" sheetId="7" r:id="rId7"/>
    <sheet name="Equipment" sheetId="8" r:id="rId8"/>
    <sheet name="CableProtection" sheetId="9" r:id="rId9"/>
    <sheet name="BulkCompatibility" sheetId="10" r:id="rId10"/>
    <sheet name="Economics" sheetId="11" r:id="rId11"/>
    <sheet name="CableSizing" sheetId="12" r:id="rId12"/>
    <sheet name="ProtectionRules" sheetId="13" r:id="rId13"/>
    <sheet name="SpdRules" sheetId="14" r:id="rId14"/>
    <sheet name="EarthingRules" sheetId="15" r:id="rId15"/>
    <sheet name="CableDerating" sheetId="16" r:id="rId16"/>
    <sheet name="MountingRules" sheetId="17" r:id="rId17"/>
    <sheet name="Regions" sheetId="18" r:id="rId18"/>
    <sheet name="Tariffs" sheetId="19" r:id="rId19"/>
    <sheet name="Compatibility" sheetId="20" r:id="rId20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4"/>
      <color rgb="FF1F293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workbookViewId="0">
      <pane xSplit="0" ySplit="2" topLeftCell="A3" activePane="bottomRight" state="frozen"/>
    </sheetView>
  </sheetViews>
  <sheetFormatPr defaultRowHeight="16"/>
  <cols>
    <col min="1" max="1" width="34" customWidth="1"/>
    <col min="2" max="2" width="34" customWidth="1"/>
    <col min="3" max="3" width="12" customWidth="1"/>
    <col min="4" max="4" width="34" customWidth="1"/>
  </cols>
  <sheetData>
    <row r="1">
      <c r="A1" t="inlineStr" s="2">
        <is>
          <t>Line-Energy Solar Designer</t>
        </is>
      </c>
      <c r="B1" t="inlineStr" s="2">
        <is>
          <t>v0.13.0-draft</t>
        </is>
      </c>
      <c r="C1" t="inlineStr" s="2">
        <is>
          <t/>
        </is>
      </c>
      <c r="D1" t="inlineStr" s="2">
        <is>
          <t/>
        </is>
      </c>
    </row>
    <row r="2">
      <c r="A2" t="inlineStr" s="1">
        <is>
          <t>Item</t>
        </is>
      </c>
      <c r="B2" t="inlineStr" s="1">
        <is>
          <t>Value</t>
        </is>
      </c>
      <c r="C2" t="inlineStr" s="1">
        <is>
          <t>Unit</t>
        </is>
      </c>
      <c r="D2" t="inlineStr" s="1">
        <is>
          <t>Status / Note</t>
        </is>
      </c>
    </row>
    <row r="3">
      <c r="A3" t="inlineStr">
        <is>
          <t>Overall compatibility</t>
        </is>
      </c>
      <c r="B3" s="3">
        <f>Compatibility!B8</f>
      </c>
      <c r="C3" t="inlineStr">
        <is>
          <t/>
        </is>
      </c>
      <c r="D3" t="inlineStr">
        <is>
          <t>PASS / FAIL / VERIFY</t>
        </is>
      </c>
    </row>
    <row r="4">
      <c r="A4" t="inlineStr">
        <is>
          <t>PV electrical status</t>
        </is>
      </c>
      <c r="B4" s="3">
        <f>Results!B25</f>
      </c>
      <c r="C4" t="inlineStr">
        <is>
          <t/>
        </is>
      </c>
      <c r="D4" t="inlineStr">
        <is>
          <t>From Results</t>
        </is>
      </c>
    </row>
    <row r="5">
      <c r="A5" t="inlineStr">
        <is>
          <t>Battery status</t>
        </is>
      </c>
      <c r="B5" s="3">
        <f>Compatibility!B6</f>
      </c>
      <c r="C5" t="inlineStr">
        <is>
          <t/>
        </is>
      </c>
      <c r="D5" t="inlineStr">
        <is>
          <t>From Compatibility</t>
        </is>
      </c>
    </row>
    <row r="6">
      <c r="A6" t="inlineStr">
        <is>
          <t>Datasheet completeness</t>
        </is>
      </c>
      <c r="B6" s="3">
        <f>Compatibility!B7</f>
      </c>
      <c r="C6" t="inlineStr">
        <is>
          <t/>
        </is>
      </c>
      <c r="D6" t="inlineStr">
        <is>
          <t>From Compatibility</t>
        </is>
      </c>
    </row>
    <row r="7">
      <c r="A7" t="inlineStr">
        <is>
          <t>Inverter</t>
        </is>
      </c>
      <c r="B7" s="3">
        <f>Inputs!B3</f>
      </c>
      <c r="C7" t="inlineStr">
        <is>
          <t/>
        </is>
      </c>
      <c r="D7" t="inlineStr">
        <is>
          <t>Selected model</t>
        </is>
      </c>
    </row>
    <row r="8">
      <c r="A8" t="inlineStr">
        <is>
          <t>Panel</t>
        </is>
      </c>
      <c r="B8" s="3">
        <f>Inputs!B4</f>
      </c>
      <c r="C8" t="inlineStr">
        <is>
          <t/>
        </is>
      </c>
      <c r="D8" t="inlineStr">
        <is>
          <t>Selected model</t>
        </is>
      </c>
    </row>
    <row r="9">
      <c r="A9" t="inlineStr">
        <is>
          <t>Battery</t>
        </is>
      </c>
      <c r="B9" s="3">
        <f>Inputs!B9</f>
      </c>
      <c r="C9" t="inlineStr">
        <is>
          <t/>
        </is>
      </c>
      <c r="D9" t="inlineStr">
        <is>
          <t>Selected model</t>
        </is>
      </c>
    </row>
    <row r="10">
      <c r="A10" t="inlineStr">
        <is>
          <t>Panels per string</t>
        </is>
      </c>
      <c r="B10" s="3">
        <f>Inputs!B7</f>
      </c>
      <c r="C10" t="inlineStr">
        <is>
          <t>pcs</t>
        </is>
      </c>
      <c r="D10" t="inlineStr">
        <is>
          <t>Selected value</t>
        </is>
      </c>
    </row>
    <row r="11">
      <c r="A11" t="inlineStr">
        <is>
          <t>Recommended string range</t>
        </is>
      </c>
      <c r="B11" s="3">
        <f>Results!B21</f>
      </c>
      <c r="C11" t="inlineStr">
        <is>
          <t>pcs</t>
        </is>
      </c>
      <c r="D11" t="inlineStr">
        <is>
          <t>Calculated range</t>
        </is>
      </c>
    </row>
    <row r="12">
      <c r="A12" t="inlineStr">
        <is>
          <t>Battery total energy</t>
        </is>
      </c>
      <c r="B12" s="3">
        <f>Results!B29</f>
      </c>
      <c r="C12" t="inlineStr">
        <is>
          <t>kWh</t>
        </is>
      </c>
      <c r="D12" t="inlineStr">
        <is>
          <t>Nominal energy</t>
        </is>
      </c>
    </row>
    <row r="13">
      <c r="A13" t="inlineStr">
        <is>
          <t>Roof type</t>
        </is>
      </c>
      <c r="B13" s="3">
        <f>Inputs!B11</f>
      </c>
      <c r="C13" t="inlineStr">
        <is>
          <t/>
        </is>
      </c>
      <c r="D13" t="inlineStr">
        <is>
          <t>Selected roof</t>
        </is>
      </c>
    </row>
    <row r="14">
      <c r="A14" t="inlineStr">
        <is>
          <t>Total panels</t>
        </is>
      </c>
      <c r="B14" s="3">
        <f>Inputs!B12</f>
      </c>
      <c r="C14" t="inlineStr">
        <is>
          <t>pcs</t>
        </is>
      </c>
      <c r="D14" t="inlineStr">
        <is>
          <t>Mounting input</t>
        </is>
      </c>
    </row>
    <row r="15">
      <c r="A15" t="inlineStr">
        <is>
          <t>Rows</t>
        </is>
      </c>
      <c r="B15" s="3">
        <f>Mounting!B5</f>
      </c>
      <c r="C15" t="inlineStr">
        <is>
          <t>rows</t>
        </is>
      </c>
      <c r="D15" t="inlineStr">
        <is>
          <t>Mounting calculation</t>
        </is>
      </c>
    </row>
    <row r="16">
      <c r="A16" t="inlineStr">
        <is>
          <t>Rails</t>
        </is>
      </c>
      <c r="B16" s="3">
        <f>Mounting!B13</f>
      </c>
      <c r="C16" t="inlineStr">
        <is>
          <t>pcs</t>
        </is>
      </c>
      <c r="D16" t="inlineStr">
        <is>
          <t>Mounting calculation</t>
        </is>
      </c>
    </row>
    <row r="17">
      <c r="A17" t="inlineStr">
        <is>
          <t>End clamps</t>
        </is>
      </c>
      <c r="B17" s="3">
        <f>Mounting!B15</f>
      </c>
      <c r="C17" t="inlineStr">
        <is>
          <t>pcs</t>
        </is>
      </c>
      <c r="D17" t="inlineStr">
        <is>
          <t>Mounting calculation</t>
        </is>
      </c>
    </row>
    <row r="18">
      <c r="A18" t="inlineStr">
        <is>
          <t>Middle clamps</t>
        </is>
      </c>
      <c r="B18" s="3">
        <f>Mounting!B16</f>
      </c>
      <c r="C18" t="inlineStr">
        <is>
          <t>pcs</t>
        </is>
      </c>
      <c r="D18" t="inlineStr">
        <is>
          <t>Mounting calculation</t>
        </is>
      </c>
    </row>
    <row r="19">
      <c r="A19" t="inlineStr">
        <is>
          <t>Grounding clips</t>
        </is>
      </c>
      <c r="B19" s="3">
        <f>Mounting!B18</f>
      </c>
      <c r="C19" t="inlineStr">
        <is>
          <t>pcs</t>
        </is>
      </c>
      <c r="D19" t="inlineStr">
        <is>
          <t>Mounting calculation</t>
        </is>
      </c>
    </row>
    <row r="20">
      <c r="A20" t="inlineStr">
        <is>
          <t>Cable clips</t>
        </is>
      </c>
      <c r="B20" s="3">
        <f>Mounting!B19</f>
      </c>
      <c r="C20" t="inlineStr">
        <is>
          <t>pcs</t>
        </is>
      </c>
      <c r="D20" t="inlineStr">
        <is>
          <t>Mounting calculation</t>
        </is>
      </c>
    </row>
    <row r="21">
      <c r="A21" t="inlineStr">
        <is>
          <t>Equipment list items</t>
        </is>
      </c>
      <c r="B21" s="3">
        <f>COUNTA(Equipment!A2:A35)</f>
      </c>
      <c r="C21" t="inlineStr">
        <is>
          <t>items</t>
        </is>
      </c>
      <c r="D21" t="inlineStr">
        <is>
          <t>Generated equipment output</t>
        </is>
      </c>
    </row>
    <row r="22">
      <c r="A22" t="inlineStr">
        <is>
          <t>Protection items</t>
        </is>
      </c>
      <c r="B22" s="3">
        <f>COUNTA(CableProtection!A2:A32)</f>
      </c>
      <c r="C22" t="inlineStr">
        <is>
          <t>items</t>
        </is>
      </c>
      <c r="D22" t="inlineStr">
        <is>
          <t>Generated protection output</t>
        </is>
      </c>
    </row>
    <row r="23">
      <c r="A23" t="inlineStr">
        <is>
          <t>DC cable section</t>
        </is>
      </c>
      <c r="B23" s="3">
        <f>CableProtection!B15</f>
      </c>
      <c r="C23" t="inlineStr">
        <is>
          <t>mm2</t>
        </is>
      </c>
      <c r="D23" t="inlineStr">
        <is>
          <t>Starter sizing</t>
        </is>
      </c>
    </row>
    <row r="24">
      <c r="A24" t="inlineStr">
        <is>
          <t>AC cable section</t>
        </is>
      </c>
      <c r="B24" s="3">
        <f>CableProtection!B19</f>
      </c>
      <c r="C24" t="inlineStr">
        <is>
          <t>mm2</t>
        </is>
      </c>
      <c r="D24" t="inlineStr">
        <is>
          <t>Starter sizing</t>
        </is>
      </c>
    </row>
    <row r="25">
      <c r="A25" t="inlineStr">
        <is>
          <t>Battery cable section</t>
        </is>
      </c>
      <c r="B25" s="3">
        <f>CableProtection!B24</f>
      </c>
      <c r="C25" t="inlineStr">
        <is>
          <t>mm2</t>
        </is>
      </c>
      <c r="D25" t="inlineStr">
        <is>
          <t>Starter sizing</t>
        </is>
      </c>
    </row>
    <row r="26">
      <c r="A26" t="inlineStr">
        <is>
          <t>SPD recommendation</t>
        </is>
      </c>
      <c r="B26" s="3">
        <f>CableProtection!B28</f>
      </c>
      <c r="C26" t="inlineStr">
        <is>
          <t/>
        </is>
      </c>
      <c r="D26" t="inlineStr">
        <is>
          <t>Starter protection selection</t>
        </is>
      </c>
    </row>
    <row r="27">
      <c r="A27" t="inlineStr">
        <is>
          <t>Earthing system</t>
        </is>
      </c>
      <c r="B27" s="3">
        <f>CableProtection!B29</f>
      </c>
      <c r="C27" t="inlineStr">
        <is>
          <t/>
        </is>
      </c>
      <c r="D27" t="inlineStr">
        <is>
          <t>Selected AC earthing system</t>
        </is>
      </c>
    </row>
    <row r="28">
      <c r="A28" t="inlineStr">
        <is>
          <t>Cable derating factor</t>
        </is>
      </c>
      <c r="B28" s="3">
        <f>CableProtection!B30</f>
      </c>
      <c r="C28" t="inlineStr">
        <is>
          <t>factor</t>
        </is>
      </c>
      <c r="D28" t="inlineStr">
        <is>
          <t>Grouping x ambient factors</t>
        </is>
      </c>
    </row>
    <row r="29">
      <c r="A29" t="inlineStr">
        <is>
          <t>Bulk scenarios</t>
        </is>
      </c>
      <c r="B29" s="3">
        <f>COUNTA(BulkCompatibility!A2:A100)</f>
      </c>
      <c r="C29" t="inlineStr">
        <is>
          <t>rows</t>
        </is>
      </c>
      <c r="D29" t="inlineStr">
        <is>
          <t>Mass compatibility table</t>
        </is>
      </c>
    </row>
    <row r="30">
      <c r="A30" t="inlineStr">
        <is>
          <t>Bulk PASS</t>
        </is>
      </c>
      <c r="B30" s="3">
        <f>COUNTIF(BulkCompatibility!L2:L100,"PASS")</f>
      </c>
      <c r="C30" t="inlineStr">
        <is>
          <t>rows</t>
        </is>
      </c>
      <c r="D30" t="inlineStr">
        <is>
          <t>Bulk compatibility count</t>
        </is>
      </c>
    </row>
    <row r="31">
      <c r="A31" t="inlineStr">
        <is>
          <t>Bulk FAIL</t>
        </is>
      </c>
      <c r="B31" s="3">
        <f>COUNTIF(BulkCompatibility!L2:L100,"FAIL")</f>
      </c>
      <c r="C31" t="inlineStr">
        <is>
          <t>rows</t>
        </is>
      </c>
      <c r="D31" t="inlineStr">
        <is>
          <t>Bulk compatibility count</t>
        </is>
      </c>
    </row>
    <row r="32">
      <c r="A32" t="inlineStr">
        <is>
          <t>Bulk VERIFY</t>
        </is>
      </c>
      <c r="B32" s="3">
        <f>COUNTIF(BulkCompatibility!L2:L100,"VERIFY")</f>
      </c>
      <c r="C32" t="inlineStr">
        <is>
          <t>rows</t>
        </is>
      </c>
      <c r="D32" t="inlineStr">
        <is>
          <t>Bulk compatibility count</t>
        </is>
      </c>
    </row>
    <row r="33">
      <c r="A33" t="inlineStr">
        <is>
          <t>Region</t>
        </is>
      </c>
      <c r="B33" s="3">
        <f>Economics!B2</f>
      </c>
      <c r="C33" t="inlineStr">
        <is>
          <t/>
        </is>
      </c>
      <c r="D33" t="inlineStr">
        <is>
          <t>Economics input</t>
        </is>
      </c>
    </row>
    <row r="34">
      <c r="A34" t="inlineStr">
        <is>
          <t>Annual generation</t>
        </is>
      </c>
      <c r="B34" s="3">
        <f>Economics!B8</f>
      </c>
      <c r="C34" t="inlineStr">
        <is>
          <t>kWh/year</t>
        </is>
      </c>
      <c r="D34" t="inlineStr">
        <is>
          <t>Regional yield estimate</t>
        </is>
      </c>
    </row>
    <row r="35">
      <c r="A35" t="inlineStr">
        <is>
          <t>Annual savings</t>
        </is>
      </c>
      <c r="B35" s="3">
        <f>Economics!B12</f>
      </c>
      <c r="C35" t="inlineStr">
        <is>
          <t>RUB/year</t>
        </is>
      </c>
      <c r="D35" t="inlineStr">
        <is>
          <t>Self-consumption plus export</t>
        </is>
      </c>
    </row>
    <row r="36">
      <c r="A36" t="inlineStr">
        <is>
          <t>Simple payback</t>
        </is>
      </c>
      <c r="B36" s="3">
        <f>Economics!B13</f>
      </c>
      <c r="C36" t="inlineStr">
        <is>
          <t>years</t>
        </is>
      </c>
      <c r="D36" t="inlineStr">
        <is>
          <t>Installed cost / annual savings</t>
        </is>
      </c>
    </row>
    <row r="37">
      <c r="A37" t="inlineStr">
        <is>
          <t>Tariff source status</t>
        </is>
      </c>
      <c r="B37" s="3">
        <f>Economics!B15</f>
      </c>
      <c r="C37" t="inlineStr">
        <is>
          <t/>
        </is>
      </c>
      <c r="D37" t="inlineStr">
        <is>
          <t>Must be verified</t>
        </is>
      </c>
    </row>
  </sheetData>
  <conditionalFormatting sqref="B3:B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workbookViewId="0">
      <pane xSplit="0" ySplit="2" topLeftCell="A3" activePane="bottomRight" state="frozen"/>
    </sheetView>
  </sheetViews>
  <sheetFormatPr defaultRowHeight="16"/>
  <cols>
    <col min="1" max="1" width="32" customWidth="1"/>
    <col min="2" max="2" width="28" customWidth="1"/>
    <col min="3" max="3" width="10" customWidth="1"/>
    <col min="4" max="4" width="48" customWidth="1"/>
  </cols>
  <sheetData>
    <row r="1">
      <c r="A1" t="inlineStr" s="2">
        <is>
          <t>Line-Energy Solar Calculator</t>
        </is>
      </c>
      <c r="B1" t="inlineStr" s="2">
        <is>
          <t>v0.13.0-draft</t>
        </is>
      </c>
    </row>
    <row r="2">
      <c r="A2" t="inlineStr" s="1">
        <is>
          <t>Input</t>
        </is>
      </c>
      <c r="B2" t="inlineStr" s="1">
        <is>
          <t>Value</t>
        </is>
      </c>
      <c r="C2" t="inlineStr" s="1">
        <is>
          <t>Unit</t>
        </is>
      </c>
      <c r="D2" t="inlineStr" s="1">
        <is>
          <t>Notes</t>
        </is>
      </c>
    </row>
    <row r="3">
      <c r="A3" t="inlineStr">
        <is>
          <t>Inverter model</t>
        </is>
      </c>
      <c r="B3" t="inlineStr" s="4">
        <is>
          <t>SUN-8K-SG01LP1-EU</t>
        </is>
      </c>
      <c r="C3" t="inlineStr">
        <is>
          <t/>
        </is>
      </c>
      <c r="D3" t="inlineStr">
        <is>
          <t>Choose from dropdown</t>
        </is>
      </c>
    </row>
    <row r="4">
      <c r="A4" t="inlineStr">
        <is>
          <t>Panel model</t>
        </is>
      </c>
      <c r="B4" t="inlineStr" s="4">
        <is>
          <t>JKM575N-72HL4-V</t>
        </is>
      </c>
      <c r="C4" t="inlineStr">
        <is>
          <t/>
        </is>
      </c>
      <c r="D4" t="inlineStr">
        <is>
          <t>Choose from dropdown</t>
        </is>
      </c>
    </row>
    <row r="5">
      <c r="A5" t="inlineStr">
        <is>
          <t>Minimum ambient temperature</t>
        </is>
      </c>
      <c r="B5" s="4">
        <v>-10</v>
      </c>
      <c r="C5" t="inlineStr">
        <is>
          <t>C</t>
        </is>
      </c>
      <c r="D5" t="inlineStr">
        <is>
          <t>Used for cold Voc check</t>
        </is>
      </c>
    </row>
    <row r="6">
      <c r="A6" t="inlineStr">
        <is>
          <t>Maximum cell temperature</t>
        </is>
      </c>
      <c r="B6" s="4">
        <v>70</v>
      </c>
      <c r="C6" t="inlineStr">
        <is>
          <t>C</t>
        </is>
      </c>
      <c r="D6" t="inlineStr">
        <is>
          <t>Used for hot Vmp check</t>
        </is>
      </c>
    </row>
    <row r="7">
      <c r="A7" t="inlineStr">
        <is>
          <t>Panels per string</t>
        </is>
      </c>
      <c r="B7" s="4">
        <v>8</v>
      </c>
      <c r="C7" t="inlineStr">
        <is>
          <t>pcs</t>
        </is>
      </c>
      <c r="D7" t="inlineStr">
        <is>
          <t>Series modules in one string</t>
        </is>
      </c>
    </row>
    <row r="8">
      <c r="A8" t="inlineStr">
        <is>
          <t>Strings per MPPT</t>
        </is>
      </c>
      <c r="B8" s="4">
        <v>1</v>
      </c>
      <c r="C8" t="inlineStr">
        <is>
          <t>pcs</t>
        </is>
      </c>
      <c r="D8" t="inlineStr">
        <is>
          <t>Parallel strings on one tracker</t>
        </is>
      </c>
    </row>
    <row r="9">
      <c r="A9" t="inlineStr">
        <is>
          <t>Battery model</t>
        </is>
      </c>
      <c r="B9" t="inlineStr" s="4">
        <is>
          <t>US5000</t>
        </is>
      </c>
      <c r="C9" t="inlineStr">
        <is>
          <t/>
        </is>
      </c>
      <c r="D9" t="inlineStr">
        <is>
          <t>Choose from dropdown</t>
        </is>
      </c>
    </row>
    <row r="10">
      <c r="A10" t="inlineStr">
        <is>
          <t>Battery quantity</t>
        </is>
      </c>
      <c r="B10" s="4">
        <v>2</v>
      </c>
      <c r="C10" t="inlineStr">
        <is>
          <t>pcs</t>
        </is>
      </c>
      <c r="D10" t="inlineStr">
        <is>
          <t>Used for total battery capacity</t>
        </is>
      </c>
    </row>
    <row r="11">
      <c r="A11" t="inlineStr">
        <is>
          <t>Roof type</t>
        </is>
      </c>
      <c r="B11" t="inlineStr" s="4">
        <is>
          <t>Metal tile</t>
        </is>
      </c>
      <c r="C11" t="inlineStr">
        <is>
          <t/>
        </is>
      </c>
      <c r="D11" t="inlineStr">
        <is>
          <t>Choose from dropdown</t>
        </is>
      </c>
    </row>
    <row r="12">
      <c r="A12" t="inlineStr">
        <is>
          <t>Total panels</t>
        </is>
      </c>
      <c r="B12" s="4">
        <v>16</v>
      </c>
      <c r="C12" t="inlineStr">
        <is>
          <t>pcs</t>
        </is>
      </c>
      <c r="D12" t="inlineStr">
        <is>
          <t>Used for mounting quantity calculation</t>
        </is>
      </c>
    </row>
    <row r="13">
      <c r="A13" t="inlineStr">
        <is>
          <t>Panels per row</t>
        </is>
      </c>
      <c r="B13" s="4">
        <v>8</v>
      </c>
      <c r="C13" t="inlineStr">
        <is>
          <t>pcs</t>
        </is>
      </c>
      <c r="D13" t="inlineStr">
        <is>
          <t>Used for row and clamp calculation</t>
        </is>
      </c>
    </row>
    <row r="14">
      <c r="A14" t="inlineStr">
        <is>
          <t>Rail stock length</t>
        </is>
      </c>
      <c r="B14" s="4">
        <v>4.2</v>
      </c>
      <c r="C14" t="inlineStr">
        <is>
          <t>m</t>
        </is>
      </c>
      <c r="D14" t="inlineStr">
        <is>
          <t>Used for rail connector estimate</t>
        </is>
      </c>
    </row>
    <row r="15">
      <c r="A15" t="inlineStr">
        <is>
          <t>Rail length per panel</t>
        </is>
      </c>
      <c r="B15" s="4">
        <v>1.15</v>
      </c>
      <c r="C15" t="inlineStr">
        <is>
          <t>m</t>
        </is>
      </c>
      <c r="D15" t="inlineStr">
        <is>
          <t>Starter assumption; adjust by panel orientation</t>
        </is>
      </c>
    </row>
    <row r="16">
      <c r="A16" t="inlineStr">
        <is>
          <t>Mounting reserve</t>
        </is>
      </c>
      <c r="B16" s="4">
        <v>10</v>
      </c>
      <c r="C16" t="inlineStr">
        <is>
          <t>%</t>
        </is>
      </c>
      <c r="D16" t="inlineStr">
        <is>
          <t>Extra quantity reserve</t>
        </is>
      </c>
    </row>
    <row r="17">
      <c r="A17" t="inlineStr">
        <is>
          <t>DC cable route length</t>
        </is>
      </c>
      <c r="B17" s="4">
        <v>30</v>
      </c>
      <c r="C17" t="inlineStr">
        <is>
          <t>m</t>
        </is>
      </c>
      <c r="D17" t="inlineStr">
        <is>
          <t>One-way route length estimate</t>
        </is>
      </c>
    </row>
    <row r="18">
      <c r="A18" t="inlineStr">
        <is>
          <t>AC cable route length</t>
        </is>
      </c>
      <c r="B18" s="4">
        <v>20</v>
      </c>
      <c r="C18" t="inlineStr">
        <is>
          <t>m</t>
        </is>
      </c>
      <c r="D18" t="inlineStr">
        <is>
          <t>One-way route length estimate</t>
        </is>
      </c>
    </row>
    <row r="19">
      <c r="A19" t="inlineStr">
        <is>
          <t>Grounding cable route length</t>
        </is>
      </c>
      <c r="B19" s="4">
        <v>25</v>
      </c>
      <c r="C19" t="inlineStr">
        <is>
          <t>m</t>
        </is>
      </c>
      <c r="D19" t="inlineStr">
        <is>
          <t>Grounding route length estimate</t>
        </is>
      </c>
    </row>
    <row r="20">
      <c r="A20" t="inlineStr">
        <is>
          <t>Installation method</t>
        </is>
      </c>
      <c r="B20" t="inlineStr" s="4">
        <is>
          <t>Open air</t>
        </is>
      </c>
      <c r="C20" t="inlineStr">
        <is>
          <t/>
        </is>
      </c>
      <c r="D20" t="inlineStr">
        <is>
          <t>Used for cable derating notes</t>
        </is>
      </c>
    </row>
    <row r="21">
      <c r="A21" t="inlineStr">
        <is>
          <t>Cable grouping derating</t>
        </is>
      </c>
      <c r="B21" s="4">
        <v>1</v>
      </c>
      <c r="C21" t="inlineStr">
        <is>
          <t>factor</t>
        </is>
      </c>
      <c r="D21" t="inlineStr">
        <is>
          <t>Starter factor; adjust by local rules</t>
        </is>
      </c>
    </row>
    <row r="22">
      <c r="A22" t="inlineStr">
        <is>
          <t>Ambient temperature derating</t>
        </is>
      </c>
      <c r="B22" s="4">
        <v>1</v>
      </c>
      <c r="C22" t="inlineStr">
        <is>
          <t>factor</t>
        </is>
      </c>
      <c r="D22" t="inlineStr">
        <is>
          <t>Starter factor; adjust by local rules</t>
        </is>
      </c>
    </row>
    <row r="23">
      <c r="A23" t="inlineStr">
        <is>
          <t>Lightning protection system</t>
        </is>
      </c>
      <c r="B23" t="inlineStr" s="4">
        <is>
          <t>No external LPS</t>
        </is>
      </c>
      <c r="C23" t="inlineStr">
        <is>
          <t/>
        </is>
      </c>
      <c r="D23" t="inlineStr">
        <is>
          <t>Used for SPD type suggestion</t>
        </is>
      </c>
    </row>
    <row r="24">
      <c r="A24" t="inlineStr">
        <is>
          <t>AC earthing system</t>
        </is>
      </c>
      <c r="B24" t="inlineStr" s="4">
        <is>
          <t>TN-S</t>
        </is>
      </c>
      <c r="C24" t="inlineStr">
        <is>
          <t/>
        </is>
      </c>
      <c r="D24" t="inlineStr">
        <is>
          <t>Used for earthing checklist</t>
        </is>
      </c>
    </row>
    <row r="25">
      <c r="A25" t="inlineStr">
        <is>
          <t>Region / tariff zone</t>
        </is>
      </c>
      <c r="B25" t="inlineStr" s="4">
        <is>
          <t>Moscow starter</t>
        </is>
      </c>
      <c r="C25" t="inlineStr">
        <is>
          <t/>
        </is>
      </c>
      <c r="D25" t="inlineStr">
        <is>
          <t>Choose from tariff database</t>
        </is>
      </c>
    </row>
    <row r="26">
      <c r="A26" t="inlineStr">
        <is>
          <t>Self-consumption share</t>
        </is>
      </c>
      <c r="B26" s="4">
        <v>70</v>
      </c>
      <c r="C26" t="inlineStr">
        <is>
          <t>%</t>
        </is>
      </c>
      <c r="D26" t="inlineStr">
        <is>
          <t>Share of generation consumed on site</t>
        </is>
      </c>
    </row>
    <row r="27">
      <c r="A27" t="inlineStr">
        <is>
          <t>Installed system cost</t>
        </is>
      </c>
      <c r="B27" s="4">
        <v>800000</v>
      </c>
      <c r="C27" t="inlineStr">
        <is>
          <t>RUB</t>
        </is>
      </c>
      <c r="D27" t="inlineStr">
        <is>
          <t>Used for simple payback estimate</t>
        </is>
      </c>
    </row>
    <row r="28">
      <c r="A28" t="inlineStr">
        <is>
          <t>Tariff source status</t>
        </is>
      </c>
      <c r="B28" t="inlineStr" s="4">
        <is>
          <t>VERIFY</t>
        </is>
      </c>
      <c r="C28" t="inlineStr">
        <is>
          <t/>
        </is>
      </c>
      <c r="D28" t="inlineStr">
        <is>
          <t>Tariffs must be checked for exact supplier/date</t>
        </is>
      </c>
    </row>
    <row r="29">
      <c r="A29" t="inlineStr">
        <is>
          <t>Design note</t>
        </is>
      </c>
      <c r="B29" t="inlineStr">
        <is>
          <t>Starter calculation only</t>
        </is>
      </c>
      <c r="C29" t="inlineStr">
        <is>
          <t/>
        </is>
      </c>
      <c r="D29" t="inlineStr">
        <is>
          <t>Verify datasheets and mounting manuals before commercial use</t>
        </is>
      </c>
    </row>
  </sheetData>
  <dataValidations count="8">
    <dataValidation type="list" allowBlank="0" showInputMessage="1" sqref="B3" promptTitle="Inverter" prompt="Choose inverter model">
      <formula1>Inverters!$C$2:$C$185</formula1>
    </dataValidation>
    <dataValidation type="list" allowBlank="0" showInputMessage="1" sqref="B4" promptTitle="Panel" prompt="Choose panel model">
      <formula1>Panels!$C$2:$C$73</formula1>
    </dataValidation>
    <dataValidation type="list" allowBlank="0" showInputMessage="1" sqref="B9" promptTitle="Battery" prompt="Choose battery model">
      <formula1>Batteries!$C$2:$C$25</formula1>
    </dataValidation>
    <dataValidation type="list" allowBlank="0" showInputMessage="1" sqref="B11" promptTitle="Roof type" prompt="Choose roof type">
      <formula1>Metal tile,Standing seam,Trapezoidal sheet,Flat roof</formula1>
    </dataValidation>
    <dataValidation type="list" allowBlank="0" showInputMessage="1" sqref="B20" promptTitle="Installation method" prompt="Choose cable installation method">
      <formula1>Open air,Conduit or trunking,Thermal insulation</formula1>
    </dataValidation>
    <dataValidation type="list" allowBlank="0" showInputMessage="1" sqref="B23" promptTitle="Lightning protection" prompt="Choose lightning protection condition">
      <formula1>No external LPS,External LPS,Overhead supply,Long outdoor DC route</formula1>
    </dataValidation>
    <dataValidation type="list" allowBlank="0" showInputMessage="1" sqref="B24" promptTitle="Earthing system" prompt="Choose AC earthing system">
      <formula1>TN-S,TN-C-S,TT,IT</formula1>
    </dataValidation>
    <dataValidation type="list" allowBlank="0" showInputMessage="1" sqref="B25" promptTitle="Region" prompt="Choose tariff region">
      <formula1>Tariffs!$A$2:$A$6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xSplit="0" ySplit="1" topLeftCell="A2" activePane="bottomRight" state="frozen"/>
    </sheetView>
  </sheetViews>
  <sheetFormatPr defaultRowHeight="16"/>
  <cols>
    <col min="1" max="1" width="38" customWidth="1"/>
    <col min="2" max="2" width="24" customWidth="1"/>
    <col min="3" max="3" width="10" customWidth="1"/>
    <col min="4" max="4" width="56" customWidth="1"/>
  </cols>
  <sheetData>
    <row r="1">
      <c r="A1" t="inlineStr" s="1">
        <is>
          <t>Result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Inverter model</t>
        </is>
      </c>
      <c r="B2" s="3">
        <f>Inputs!B3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Panel model</t>
        </is>
      </c>
      <c r="B3" s="3">
        <f>Inputs!B4</f>
      </c>
      <c r="C3" t="inlineStr">
        <is>
          <t/>
        </is>
      </c>
      <c r="D3" t="inlineStr">
        <is>
          <t>From Inputs</t>
        </is>
      </c>
    </row>
    <row r="4">
      <c r="A4" t="inlineStr">
        <is>
          <t>Panels per string</t>
        </is>
      </c>
      <c r="B4" s="3">
        <f>Inputs!B7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Strings per MPPT</t>
        </is>
      </c>
      <c r="B5" s="3">
        <f>Inputs!B8</f>
      </c>
      <c r="C5" t="inlineStr">
        <is>
          <t>pcs</t>
        </is>
      </c>
      <c r="D5" t="inlineStr">
        <is>
          <t>From Inputs</t>
        </is>
      </c>
    </row>
    <row r="6">
      <c r="A6" t="inlineStr">
        <is>
          <t>Max PV voltage</t>
        </is>
      </c>
      <c r="B6" s="3">
        <f>INDEX(Inverters!G:G,MATCH(B2,Inverters!C:C,0))</f>
      </c>
      <c r="C6" t="inlineStr">
        <is>
          <t>V</t>
        </is>
      </c>
      <c r="D6" t="inlineStr">
        <is>
          <t>Inverter absolute PV voltage limit</t>
        </is>
      </c>
    </row>
    <row r="7">
      <c r="A7" t="inlineStr">
        <is>
          <t>MPPT min voltage</t>
        </is>
      </c>
      <c r="B7" s="3">
        <f>INDEX(Inverters!I:I,MATCH(B2,Inverters!C:C,0))</f>
      </c>
      <c r="C7" t="inlineStr">
        <is>
          <t>V</t>
        </is>
      </c>
      <c r="D7" t="inlineStr">
        <is>
          <t>Inverter lower MPPT voltage</t>
        </is>
      </c>
    </row>
    <row r="8">
      <c r="A8" t="inlineStr">
        <is>
          <t>MPPT max voltage</t>
        </is>
      </c>
      <c r="B8" s="3">
        <f>INDEX(Inverters!J:J,MATCH(B2,Inverters!C:C,0))</f>
      </c>
      <c r="C8" t="inlineStr">
        <is>
          <t>V</t>
        </is>
      </c>
      <c r="D8" t="inlineStr">
        <is>
          <t>Inverter upper MPPT voltage</t>
        </is>
      </c>
    </row>
    <row r="9">
      <c r="A9" t="inlineStr">
        <is>
          <t>Max input current per MPPT</t>
        </is>
      </c>
      <c r="B9" s="3">
        <f>INDEX(Inverters!M:M,MATCH(B2,Inverters!C:C,0))</f>
      </c>
      <c r="C9" t="inlineStr">
        <is>
          <t>A</t>
        </is>
      </c>
      <c r="D9" t="inlineStr">
        <is>
          <t>Inverter current limit</t>
        </is>
      </c>
    </row>
    <row r="10">
      <c r="A10" t="inlineStr">
        <is>
          <t>Panel Voc STC</t>
        </is>
      </c>
      <c r="B10" s="3">
        <f>INDEX(Panels!G:G,MATCH(B3,Panels!C:C,0))</f>
      </c>
      <c r="C10" t="inlineStr">
        <is>
          <t>V</t>
        </is>
      </c>
      <c r="D10" t="inlineStr">
        <is>
          <t>Open-circuit voltage at STC</t>
        </is>
      </c>
    </row>
    <row r="11">
      <c r="A11" t="inlineStr">
        <is>
          <t>Panel Vmp STC</t>
        </is>
      </c>
      <c r="B11" s="3">
        <f>INDEX(Panels!E:E,MATCH(B3,Panels!C:C,0))</f>
      </c>
      <c r="C11" t="inlineStr">
        <is>
          <t>V</t>
        </is>
      </c>
      <c r="D11" t="inlineStr">
        <is>
          <t>Voltage at maximum power at STC</t>
        </is>
      </c>
    </row>
    <row r="12">
      <c r="A12" t="inlineStr">
        <is>
          <t>Panel Imp STC</t>
        </is>
      </c>
      <c r="B12" s="3">
        <f>INDEX(Panels!F:F,MATCH(B3,Panels!C:C,0))</f>
      </c>
      <c r="C12" t="inlineStr">
        <is>
          <t>A</t>
        </is>
      </c>
      <c r="D12" t="inlineStr">
        <is>
          <t>Current at maximum power at STC</t>
        </is>
      </c>
    </row>
    <row r="13">
      <c r="A13" t="inlineStr">
        <is>
          <t>Panel voltage temperature coefficient</t>
        </is>
      </c>
      <c r="B13" s="3">
        <f>INDEX(Panels!J:J,MATCH(B3,Panels!C:C,0))</f>
      </c>
      <c r="C13" t="inlineStr">
        <is>
          <t>%/C</t>
        </is>
      </c>
      <c r="D13" t="inlineStr">
        <is>
          <t>Preliminary voltage correction</t>
        </is>
      </c>
    </row>
    <row r="14">
      <c r="A14" t="inlineStr">
        <is>
          <t>Cold Voc per panel</t>
        </is>
      </c>
      <c r="B14" s="3">
        <f>B10*(1+(B13/100)*(Inputs!B5-25))</f>
      </c>
      <c r="C14" t="inlineStr">
        <is>
          <t>V</t>
        </is>
      </c>
      <c r="D14" t="inlineStr">
        <is>
          <t>Voc at minimum temperature</t>
        </is>
      </c>
    </row>
    <row r="15">
      <c r="A15" t="inlineStr">
        <is>
          <t>Hot Vmp per panel</t>
        </is>
      </c>
      <c r="B15" s="3">
        <f>B11*(1+(B13/100)*(Inputs!B6-25))</f>
      </c>
      <c r="C15" t="inlineStr">
        <is>
          <t>V</t>
        </is>
      </c>
      <c r="D15" t="inlineStr">
        <is>
          <t>Vmp at maximum cell temperature</t>
        </is>
      </c>
    </row>
    <row r="16">
      <c r="A16" t="inlineStr">
        <is>
          <t>Cold string Voc</t>
        </is>
      </c>
      <c r="B16" s="3">
        <f>B14*B4</f>
      </c>
      <c r="C16" t="inlineStr">
        <is>
          <t>V</t>
        </is>
      </c>
      <c r="D16" t="inlineStr">
        <is>
          <t>Cold Voc per panel x panels per string</t>
        </is>
      </c>
    </row>
    <row r="17">
      <c r="A17" t="inlineStr">
        <is>
          <t>Hot string Vmp</t>
        </is>
      </c>
      <c r="B17" s="3">
        <f>B15*B4</f>
      </c>
      <c r="C17" t="inlineStr">
        <is>
          <t>V</t>
        </is>
      </c>
      <c r="D17" t="inlineStr">
        <is>
          <t>Hot Vmp per panel x panels per string</t>
        </is>
      </c>
    </row>
    <row r="18">
      <c r="A18" t="inlineStr">
        <is>
          <t>Minimum panels per string by MPPT</t>
        </is>
      </c>
      <c r="B18" s="3">
        <f>ROUNDUP(B7/B15,0)</f>
      </c>
      <c r="C18" t="inlineStr">
        <is>
          <t>pcs</t>
        </is>
      </c>
      <c r="D18" t="inlineStr">
        <is>
          <t>Ceiling of MPPT min / hot Vmp per panel</t>
        </is>
      </c>
    </row>
    <row r="19">
      <c r="A19" t="inlineStr">
        <is>
          <t>Maximum panels per string by MPPT</t>
        </is>
      </c>
      <c r="B19" s="3">
        <f>ROUNDDOWN(B8/B15,0)</f>
      </c>
      <c r="C19" t="inlineStr">
        <is>
          <t>pcs</t>
        </is>
      </c>
      <c r="D19" t="inlineStr">
        <is>
          <t>Floor of MPPT max / hot Vmp per panel</t>
        </is>
      </c>
    </row>
    <row r="20">
      <c r="A20" t="inlineStr">
        <is>
          <t>Maximum panels per string by PV voltage</t>
        </is>
      </c>
      <c r="B20" s="3">
        <f>ROUNDDOWN(B6/B14,0)</f>
      </c>
      <c r="C20" t="inlineStr">
        <is>
          <t>pcs</t>
        </is>
      </c>
      <c r="D20" t="inlineStr">
        <is>
          <t>Floor of max PV voltage / cold Voc per panel</t>
        </is>
      </c>
    </row>
    <row r="21">
      <c r="A21" t="inlineStr">
        <is>
          <t>Recommended panels per string range</t>
        </is>
      </c>
      <c r="B21" s="3">
        <f>B18&amp;" - "&amp;MIN(B19,B20)</f>
      </c>
      <c r="C21" t="inlineStr">
        <is>
          <t>pcs</t>
        </is>
      </c>
      <c r="D21" t="inlineStr">
        <is>
          <t>Minimum to safest maximum</t>
        </is>
      </c>
    </row>
    <row r="22">
      <c r="A22" t="inlineStr">
        <is>
          <t>MPPT operating check</t>
        </is>
      </c>
      <c r="B22" s="3">
        <f>IF(AND(B17&gt;=B7,B17&lt;=B8),"PASS","FAIL")</f>
      </c>
      <c r="C22" t="inlineStr">
        <is>
          <t/>
        </is>
      </c>
      <c r="D22" t="inlineStr">
        <is>
          <t>Hot Vmp must stay inside MPPT window</t>
        </is>
      </c>
    </row>
    <row r="23">
      <c r="A23" t="inlineStr">
        <is>
          <t>Max voltage check</t>
        </is>
      </c>
      <c r="B23" s="3">
        <f>IF(B16&lt;B6,"PASS","FAIL")</f>
      </c>
      <c r="C23" t="inlineStr">
        <is>
          <t/>
        </is>
      </c>
      <c r="D23" t="inlineStr">
        <is>
          <t>Cold Voc must stay below max PV voltage</t>
        </is>
      </c>
    </row>
    <row r="24">
      <c r="A24" t="inlineStr">
        <is>
          <t>Current check</t>
        </is>
      </c>
      <c r="B24" s="3">
        <f>IF(B12*B5&lt;=B9,"PASS","FAIL")</f>
      </c>
      <c r="C24" t="inlineStr">
        <is>
          <t/>
        </is>
      </c>
      <c r="D24" t="inlineStr">
        <is>
          <t>Parallel string current must stay below MPPT current</t>
        </is>
      </c>
    </row>
    <row r="25">
      <c r="A25" t="inlineStr">
        <is>
          <t>Overall preliminary status</t>
        </is>
      </c>
      <c r="B25" s="3">
        <f>IF(AND(B22="PASS",B23="PASS",B24="PASS"),"PASS","FAIL")</f>
      </c>
      <c r="C25" t="inlineStr">
        <is>
          <t/>
        </is>
      </c>
      <c r="D25" t="inlineStr">
        <is>
          <t>All checks must pass</t>
        </is>
      </c>
    </row>
    <row r="26">
      <c r="A26" t="inlineStr">
        <is>
          <t>Battery model</t>
        </is>
      </c>
      <c r="B26" s="3">
        <f>Inputs!B9</f>
      </c>
      <c r="C26" t="inlineStr">
        <is>
          <t/>
        </is>
      </c>
      <c r="D26" t="inlineStr">
        <is>
          <t>From Inputs</t>
        </is>
      </c>
    </row>
    <row r="27">
      <c r="A27" t="inlineStr">
        <is>
          <t>Battery quantity</t>
        </is>
      </c>
      <c r="B27" s="3">
        <f>Inputs!B10</f>
      </c>
      <c r="C27" t="inlineStr">
        <is>
          <t>pcs</t>
        </is>
      </c>
      <c r="D27" t="inlineStr">
        <is>
          <t>From Inputs</t>
        </is>
      </c>
    </row>
    <row r="28">
      <c r="A28" t="inlineStr">
        <is>
          <t>Battery nominal energy</t>
        </is>
      </c>
      <c r="B28" s="3">
        <f>INDEX(Batteries!E:E,MATCH(B26,Batteries!C:C,0))</f>
      </c>
      <c r="C28" t="inlineStr">
        <is>
          <t>kWh</t>
        </is>
      </c>
      <c r="D28" t="inlineStr">
        <is>
          <t>From Batteries database</t>
        </is>
      </c>
    </row>
    <row r="29">
      <c r="A29" t="inlineStr">
        <is>
          <t>Total nominal battery energy</t>
        </is>
      </c>
      <c r="B29" s="3">
        <f>B27*B28</f>
      </c>
      <c r="C29" t="inlineStr">
        <is>
          <t>kWh</t>
        </is>
      </c>
      <c r="D29" t="inlineStr">
        <is>
          <t>Battery energy x quantity</t>
        </is>
      </c>
    </row>
    <row r="30">
      <c r="A30" t="inlineStr">
        <is>
          <t>Battery compatibility note</t>
        </is>
      </c>
      <c r="B30" s="3">
        <f>INDEX(Batteries!M:M,MATCH(B26,Batteries!C:C,0))</f>
      </c>
      <c r="C30" t="inlineStr">
        <is>
          <t/>
        </is>
      </c>
      <c r="D30" t="inlineStr">
        <is>
          <t>From Batteries database</t>
        </is>
      </c>
    </row>
  </sheetData>
  <conditionalFormatting sqref="B22:B2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85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18" customWidth="1"/>
    <col min="3" max="3" width="24" customWidth="1"/>
    <col min="18" max="18" width="52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phase</t>
        </is>
      </c>
      <c r="E1" t="inlineStr" s="1">
        <is>
          <t>nominal_ac_power_w</t>
        </is>
      </c>
      <c r="F1" t="inlineStr" s="1">
        <is>
          <t>max_pv_input_power_w</t>
        </is>
      </c>
      <c r="G1" t="inlineStr" s="1">
        <is>
          <t>max_pv_voltage_v</t>
        </is>
      </c>
      <c r="H1" t="inlineStr" s="1">
        <is>
          <t>startup_voltage_v</t>
        </is>
      </c>
      <c r="I1" t="inlineStr" s="1">
        <is>
          <t>mppt_voltage_min_v</t>
        </is>
      </c>
      <c r="J1" t="inlineStr" s="1">
        <is>
          <t>mppt_voltage_max_v</t>
        </is>
      </c>
      <c r="K1" t="inlineStr" s="1">
        <is>
          <t>mppt_count</t>
        </is>
      </c>
      <c r="L1" t="inlineStr" s="1">
        <is>
          <t>strings_per_mppt</t>
        </is>
      </c>
      <c r="M1" t="inlineStr" s="1">
        <is>
          <t>max_input_current_per_mppt_a</t>
        </is>
      </c>
      <c r="N1" t="inlineStr" s="1">
        <is>
          <t>max_short_circuit_current_per_mppt_a</t>
        </is>
      </c>
      <c r="O1" t="inlineStr" s="1">
        <is>
          <t>battery_nominal_voltage_v</t>
        </is>
      </c>
      <c r="P1" t="inlineStr" s="1">
        <is>
          <t>battery_voltage_range_v</t>
        </is>
      </c>
      <c r="Q1" t="inlineStr" s="1">
        <is>
          <t>data_status</t>
        </is>
      </c>
      <c r="R1" t="inlineStr" s="1">
        <is>
          <t>notes</t>
        </is>
      </c>
    </row>
    <row r="2">
      <c r="A2" t="inlineStr">
        <is>
          <t>Anenji</t>
        </is>
      </c>
      <c r="B2" t="inlineStr">
        <is>
          <t>Hybrid</t>
        </is>
      </c>
      <c r="C2" t="inlineStr">
        <is>
          <t>ANJ-3.2KW-24V</t>
        </is>
      </c>
      <c r="D2" t="inlineStr">
        <is>
          <t>single-phase</t>
        </is>
      </c>
      <c r="E2">
        <v>3200</v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>
        <v>24</v>
      </c>
      <c r="P2" t="inlineStr">
        <is>
          <t/>
        </is>
      </c>
      <c r="Q2" t="inlineStr">
        <is>
          <t>model_only_needs_datasheet</t>
        </is>
      </c>
      <c r="R2" t="inlineStr">
        <is>
          <t>Hybrid inverter model candidate; datasheet parameters pending.</t>
        </is>
      </c>
    </row>
    <row r="3">
      <c r="A3" t="inlineStr">
        <is>
          <t>Anenji</t>
        </is>
      </c>
      <c r="B3" t="inlineStr">
        <is>
          <t>Hybrid</t>
        </is>
      </c>
      <c r="C3" t="inlineStr">
        <is>
          <t>ANJ-3.6KW-24V</t>
        </is>
      </c>
      <c r="D3" t="inlineStr">
        <is>
          <t>single-phase</t>
        </is>
      </c>
      <c r="E3">
        <v>3600</v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>
        <v>24</v>
      </c>
      <c r="P3" t="inlineStr">
        <is>
          <t/>
        </is>
      </c>
      <c r="Q3" t="inlineStr">
        <is>
          <t>model_only_needs_datasheet</t>
        </is>
      </c>
      <c r="R3" t="inlineStr">
        <is>
          <t>Hybrid inverter model candidate; datasheet parameters pending.</t>
        </is>
      </c>
    </row>
    <row r="4">
      <c r="A4" t="inlineStr">
        <is>
          <t>Anenji</t>
        </is>
      </c>
      <c r="B4" t="inlineStr">
        <is>
          <t>Hybrid</t>
        </is>
      </c>
      <c r="C4" t="inlineStr">
        <is>
          <t>ANJ-4.2KW-24V</t>
        </is>
      </c>
      <c r="D4" t="inlineStr">
        <is>
          <t>single-phase</t>
        </is>
      </c>
      <c r="E4">
        <v>4200</v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>
        <v>24</v>
      </c>
      <c r="P4" t="inlineStr">
        <is>
          <t/>
        </is>
      </c>
      <c r="Q4" t="inlineStr">
        <is>
          <t>model_only_needs_datasheet</t>
        </is>
      </c>
      <c r="R4" t="inlineStr">
        <is>
          <t>Hybrid inverter model candidate; datasheet parameters pending.</t>
        </is>
      </c>
    </row>
    <row r="5">
      <c r="A5" t="inlineStr">
        <is>
          <t>Anenji</t>
        </is>
      </c>
      <c r="B5" t="inlineStr">
        <is>
          <t>Hybrid</t>
        </is>
      </c>
      <c r="C5" t="inlineStr">
        <is>
          <t>ANJ-6.2KW-48V</t>
        </is>
      </c>
      <c r="D5" t="inlineStr">
        <is>
          <t>single-phase</t>
        </is>
      </c>
      <c r="E5">
        <v>6200</v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>
        <v>48</v>
      </c>
      <c r="P5" t="inlineStr">
        <is>
          <t/>
        </is>
      </c>
      <c r="Q5" t="inlineStr">
        <is>
          <t>model_only_needs_datasheet</t>
        </is>
      </c>
      <c r="R5" t="inlineStr">
        <is>
          <t>Hybrid inverter model candidate; datasheet parameters pending.</t>
        </is>
      </c>
    </row>
    <row r="6">
      <c r="A6" t="inlineStr">
        <is>
          <t>Anenji</t>
        </is>
      </c>
      <c r="B6" t="inlineStr">
        <is>
          <t>Hybrid</t>
        </is>
      </c>
      <c r="C6" t="inlineStr">
        <is>
          <t>ANJ-8.2KW-48V</t>
        </is>
      </c>
      <c r="D6" t="inlineStr">
        <is>
          <t>single-phase</t>
        </is>
      </c>
      <c r="E6">
        <v>8200</v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>
        <v>48</v>
      </c>
      <c r="P6" t="inlineStr">
        <is>
          <t/>
        </is>
      </c>
      <c r="Q6" t="inlineStr">
        <is>
          <t>model_only_needs_datasheet</t>
        </is>
      </c>
      <c r="R6" t="inlineStr">
        <is>
          <t>Hybrid inverter model candidate; datasheet parameters pending.</t>
        </is>
      </c>
    </row>
    <row r="7">
      <c r="A7" t="inlineStr">
        <is>
          <t>Anenji</t>
        </is>
      </c>
      <c r="B7" t="inlineStr">
        <is>
          <t>Hybrid</t>
        </is>
      </c>
      <c r="C7" t="inlineStr">
        <is>
          <t>ANJ-10.2KW-48V</t>
        </is>
      </c>
      <c r="D7" t="inlineStr">
        <is>
          <t>single-phase</t>
        </is>
      </c>
      <c r="E7">
        <v>10200</v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>
        <v>48</v>
      </c>
      <c r="P7" t="inlineStr">
        <is>
          <t/>
        </is>
      </c>
      <c r="Q7" t="inlineStr">
        <is>
          <t>model_only_needs_datasheet</t>
        </is>
      </c>
      <c r="R7" t="inlineStr">
        <is>
          <t>Hybrid inverter model candidate; datasheet parameters pending.</t>
        </is>
      </c>
    </row>
    <row r="8">
      <c r="A8" t="inlineStr">
        <is>
          <t>Anenji</t>
        </is>
      </c>
      <c r="B8" t="inlineStr">
        <is>
          <t>Hybrid</t>
        </is>
      </c>
      <c r="C8" t="inlineStr">
        <is>
          <t>ANJ-11KW-48V</t>
        </is>
      </c>
      <c r="D8" t="inlineStr">
        <is>
          <t>single-phase</t>
        </is>
      </c>
      <c r="E8">
        <v>11000</v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>
        <v>48</v>
      </c>
      <c r="P8" t="inlineStr">
        <is>
          <t/>
        </is>
      </c>
      <c r="Q8" t="inlineStr">
        <is>
          <t>model_only_needs_datasheet</t>
        </is>
      </c>
      <c r="R8" t="inlineStr">
        <is>
          <t>Hybrid inverter model candidate; datasheet parameters pending.</t>
        </is>
      </c>
    </row>
    <row r="9">
      <c r="A9" t="inlineStr">
        <is>
          <t>Anenji</t>
        </is>
      </c>
      <c r="B9" t="inlineStr">
        <is>
          <t>Hybrid</t>
        </is>
      </c>
      <c r="C9" t="inlineStr">
        <is>
          <t>ANJ-12KW-48V</t>
        </is>
      </c>
      <c r="D9" t="inlineStr">
        <is>
          <t>single-phase</t>
        </is>
      </c>
      <c r="E9">
        <v>12000</v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>
        <v>48</v>
      </c>
      <c r="P9" t="inlineStr">
        <is>
          <t/>
        </is>
      </c>
      <c r="Q9" t="inlineStr">
        <is>
          <t>model_only_needs_datasheet</t>
        </is>
      </c>
      <c r="R9" t="inlineStr">
        <is>
          <t>Hybrid inverter model candidate; datasheet parameters pending.</t>
        </is>
      </c>
    </row>
    <row r="10">
      <c r="A10" t="inlineStr">
        <is>
          <t>Deye</t>
        </is>
      </c>
      <c r="B10" t="inlineStr">
        <is>
          <t>Hybrid LV 24V</t>
        </is>
      </c>
      <c r="C10" t="inlineStr">
        <is>
          <t>SUN-3K-SG04LP1-24-EU</t>
        </is>
      </c>
      <c r="D10" t="inlineStr">
        <is>
          <t>single-phase</t>
        </is>
      </c>
      <c r="E10">
        <v>3000</v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>
        <v>24</v>
      </c>
      <c r="P10" t="inlineStr">
        <is>
          <t/>
        </is>
      </c>
      <c r="Q10" t="inlineStr">
        <is>
          <t>model_only_needs_datasheet</t>
        </is>
      </c>
      <c r="R10" t="inlineStr">
        <is>
          <t>Model list provided by user; datasheet parameters pending.</t>
        </is>
      </c>
    </row>
    <row r="11">
      <c r="A11" t="inlineStr">
        <is>
          <t>Deye</t>
        </is>
      </c>
      <c r="B11" t="inlineStr">
        <is>
          <t>Hybrid LV</t>
        </is>
      </c>
      <c r="C11" t="inlineStr">
        <is>
          <t>SUN-3K-SG04LP1-EU</t>
        </is>
      </c>
      <c r="D11" t="inlineStr">
        <is>
          <t>single-phase</t>
        </is>
      </c>
      <c r="E11">
        <v>3000</v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>
        <v>48</v>
      </c>
      <c r="P11" t="inlineStr">
        <is>
          <t/>
        </is>
      </c>
      <c r="Q11" t="inlineStr">
        <is>
          <t>model_only_needs_datasheet</t>
        </is>
      </c>
      <c r="R11" t="inlineStr">
        <is>
          <t>Model list provided by user; datasheet parameters pending.</t>
        </is>
      </c>
    </row>
    <row r="12">
      <c r="A12" t="inlineStr">
        <is>
          <t>Deye</t>
        </is>
      </c>
      <c r="B12" t="inlineStr">
        <is>
          <t>Hybrid LV</t>
        </is>
      </c>
      <c r="C12" t="inlineStr">
        <is>
          <t>SUN-3.6K-SG05LP1-EU-AM2-P</t>
        </is>
      </c>
      <c r="D12" t="inlineStr">
        <is>
          <t>single-phase</t>
        </is>
      </c>
      <c r="E12">
        <v>3600</v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>
        <v>48</v>
      </c>
      <c r="P12" t="inlineStr">
        <is>
          <t/>
        </is>
      </c>
      <c r="Q12" t="inlineStr">
        <is>
          <t>model_only_needs_datasheet</t>
        </is>
      </c>
      <c r="R12" t="inlineStr">
        <is>
          <t>Model list provided by user; datasheet parameters pending.</t>
        </is>
      </c>
    </row>
    <row r="13">
      <c r="A13" t="inlineStr">
        <is>
          <t>Deye</t>
        </is>
      </c>
      <c r="B13" t="inlineStr">
        <is>
          <t>Hybrid LV</t>
        </is>
      </c>
      <c r="C13" t="inlineStr">
        <is>
          <t>SUN-5K-SG05LP1-EU-AM2-P</t>
        </is>
      </c>
      <c r="D13" t="inlineStr">
        <is>
          <t>single-phase</t>
        </is>
      </c>
      <c r="E13">
        <v>5000</v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>
        <v>48</v>
      </c>
      <c r="P13" t="inlineStr">
        <is>
          <t/>
        </is>
      </c>
      <c r="Q13" t="inlineStr">
        <is>
          <t>model_only_needs_datasheet</t>
        </is>
      </c>
      <c r="R13" t="inlineStr">
        <is>
          <t>Model list provided by user; datasheet parameters pending.</t>
        </is>
      </c>
    </row>
    <row r="14">
      <c r="A14" t="inlineStr">
        <is>
          <t>Deye</t>
        </is>
      </c>
      <c r="B14" t="inlineStr">
        <is>
          <t>Hybrid LV</t>
        </is>
      </c>
      <c r="C14" t="inlineStr">
        <is>
          <t>SUN-6K-SG05LP1-EU-AM2-P</t>
        </is>
      </c>
      <c r="D14" t="inlineStr">
        <is>
          <t>single-phase</t>
        </is>
      </c>
      <c r="E14">
        <v>6000</v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>
        <v>48</v>
      </c>
      <c r="P14" t="inlineStr">
        <is>
          <t/>
        </is>
      </c>
      <c r="Q14" t="inlineStr">
        <is>
          <t>model_only_needs_datasheet</t>
        </is>
      </c>
      <c r="R14" t="inlineStr">
        <is>
          <t>Model list provided by user; datasheet parameters pending.</t>
        </is>
      </c>
    </row>
    <row r="15">
      <c r="A15" t="inlineStr">
        <is>
          <t>Deye</t>
        </is>
      </c>
      <c r="B15" t="inlineStr">
        <is>
          <t>Hybrid LV</t>
        </is>
      </c>
      <c r="C15" t="inlineStr">
        <is>
          <t>SUN-8K-SG05LP1-EU-AM2-P</t>
        </is>
      </c>
      <c r="D15" t="inlineStr">
        <is>
          <t>single-phase</t>
        </is>
      </c>
      <c r="E15">
        <v>8000</v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>
        <v>48</v>
      </c>
      <c r="P15" t="inlineStr">
        <is>
          <t/>
        </is>
      </c>
      <c r="Q15" t="inlineStr">
        <is>
          <t>model_only_needs_datasheet</t>
        </is>
      </c>
      <c r="R15" t="inlineStr">
        <is>
          <t>Model list provided by user; datasheet parameters pending.</t>
        </is>
      </c>
    </row>
    <row r="16">
      <c r="A16" t="inlineStr">
        <is>
          <t>Deye</t>
        </is>
      </c>
      <c r="B16" t="inlineStr">
        <is>
          <t>Hybrid LV</t>
        </is>
      </c>
      <c r="C16" t="inlineStr">
        <is>
          <t>SUN-10K-SG02LP1-EU-AM3-P</t>
        </is>
      </c>
      <c r="D16" t="inlineStr">
        <is>
          <t>single-phase</t>
        </is>
      </c>
      <c r="E16">
        <v>10000</v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>
        <v>48</v>
      </c>
      <c r="P16" t="inlineStr">
        <is>
          <t/>
        </is>
      </c>
      <c r="Q16" t="inlineStr">
        <is>
          <t>model_only_needs_datasheet</t>
        </is>
      </c>
      <c r="R16" t="inlineStr">
        <is>
          <t>Model list provided by user; datasheet parameters pending.</t>
        </is>
      </c>
    </row>
    <row r="17">
      <c r="A17" t="inlineStr">
        <is>
          <t>Deye</t>
        </is>
      </c>
      <c r="B17" t="inlineStr">
        <is>
          <t>Hybrid LV</t>
        </is>
      </c>
      <c r="C17" t="inlineStr">
        <is>
          <t>SUN-12K-SG02LP1-EU-AM3-P</t>
        </is>
      </c>
      <c r="D17" t="inlineStr">
        <is>
          <t>single-phase</t>
        </is>
      </c>
      <c r="E17">
        <v>12000</v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>
        <v>48</v>
      </c>
      <c r="P17" t="inlineStr">
        <is>
          <t/>
        </is>
      </c>
      <c r="Q17" t="inlineStr">
        <is>
          <t>model_only_needs_datasheet</t>
        </is>
      </c>
      <c r="R17" t="inlineStr">
        <is>
          <t>Model list provided by user; datasheet parameters pending.</t>
        </is>
      </c>
    </row>
    <row r="18">
      <c r="A18" t="inlineStr">
        <is>
          <t>Deye</t>
        </is>
      </c>
      <c r="B18" t="inlineStr">
        <is>
          <t>Hybrid LV</t>
        </is>
      </c>
      <c r="C18" t="inlineStr">
        <is>
          <t>SUN-14K-SG01LP1-EU-AM3-P</t>
        </is>
      </c>
      <c r="D18" t="inlineStr">
        <is>
          <t>single-phase</t>
        </is>
      </c>
      <c r="E18">
        <v>14000</v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>
        <v>48</v>
      </c>
      <c r="P18" t="inlineStr">
        <is>
          <t/>
        </is>
      </c>
      <c r="Q18" t="inlineStr">
        <is>
          <t>model_only_needs_datasheet</t>
        </is>
      </c>
      <c r="R18" t="inlineStr">
        <is>
          <t>Model list provided by user; datasheet parameters pending.</t>
        </is>
      </c>
    </row>
    <row r="19">
      <c r="A19" t="inlineStr">
        <is>
          <t>Deye</t>
        </is>
      </c>
      <c r="B19" t="inlineStr">
        <is>
          <t>Hybrid LV</t>
        </is>
      </c>
      <c r="C19" t="inlineStr">
        <is>
          <t>SUN-16K-SG01LP1-EU-AM3-P</t>
        </is>
      </c>
      <c r="D19" t="inlineStr">
        <is>
          <t>single-phase</t>
        </is>
      </c>
      <c r="E19">
        <v>16000</v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>
        <v>48</v>
      </c>
      <c r="P19" t="inlineStr">
        <is>
          <t/>
        </is>
      </c>
      <c r="Q19" t="inlineStr">
        <is>
          <t>model_only_needs_datasheet</t>
        </is>
      </c>
      <c r="R19" t="inlineStr">
        <is>
          <t>Model list provided by user; datasheet parameters pending.</t>
        </is>
      </c>
    </row>
    <row r="20">
      <c r="A20" t="inlineStr">
        <is>
          <t>Deye</t>
        </is>
      </c>
      <c r="B20" t="inlineStr">
        <is>
          <t>Hybrid LV</t>
        </is>
      </c>
      <c r="C20" t="inlineStr">
        <is>
          <t>SUN-18K-SG01LP1-EU-AM3-P</t>
        </is>
      </c>
      <c r="D20" t="inlineStr">
        <is>
          <t>single-phase</t>
        </is>
      </c>
      <c r="E20">
        <v>18000</v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>
        <v>48</v>
      </c>
      <c r="P20" t="inlineStr">
        <is>
          <t/>
        </is>
      </c>
      <c r="Q20" t="inlineStr">
        <is>
          <t>model_only_needs_datasheet</t>
        </is>
      </c>
      <c r="R20" t="inlineStr">
        <is>
          <t>Model list provided by user; datasheet parameters pending.</t>
        </is>
      </c>
    </row>
    <row r="21">
      <c r="A21" t="inlineStr">
        <is>
          <t>Deye</t>
        </is>
      </c>
      <c r="B21" t="inlineStr">
        <is>
          <t>Hybrid LV 3P</t>
        </is>
      </c>
      <c r="C21" t="inlineStr">
        <is>
          <t>SUN-5K-SG05LP3-EU-SM2</t>
        </is>
      </c>
      <c r="D21" t="inlineStr">
        <is>
          <t>three-phase</t>
        </is>
      </c>
      <c r="E21">
        <v>5000</v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>
        <v>48</v>
      </c>
      <c r="P21" t="inlineStr">
        <is>
          <t/>
        </is>
      </c>
      <c r="Q21" t="inlineStr">
        <is>
          <t>model_only_needs_datasheet</t>
        </is>
      </c>
      <c r="R21" t="inlineStr">
        <is>
          <t>Model list provided by user; datasheet parameters pending.</t>
        </is>
      </c>
    </row>
    <row r="22">
      <c r="A22" t="inlineStr">
        <is>
          <t>Deye</t>
        </is>
      </c>
      <c r="B22" t="inlineStr">
        <is>
          <t>Hybrid LV 3P</t>
        </is>
      </c>
      <c r="C22" t="inlineStr">
        <is>
          <t>SUN-6K-SG05LP3-EU-SM2</t>
        </is>
      </c>
      <c r="D22" t="inlineStr">
        <is>
          <t>three-phase</t>
        </is>
      </c>
      <c r="E22">
        <v>6000</v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>
        <v>48</v>
      </c>
      <c r="P22" t="inlineStr">
        <is>
          <t/>
        </is>
      </c>
      <c r="Q22" t="inlineStr">
        <is>
          <t>model_only_needs_datasheet</t>
        </is>
      </c>
      <c r="R22" t="inlineStr">
        <is>
          <t>Model list provided by user; datasheet parameters pending.</t>
        </is>
      </c>
    </row>
    <row r="23">
      <c r="A23" t="inlineStr">
        <is>
          <t>Deye</t>
        </is>
      </c>
      <c r="B23" t="inlineStr">
        <is>
          <t>Hybrid LV 3P</t>
        </is>
      </c>
      <c r="C23" t="inlineStr">
        <is>
          <t>SUN-8K-SG05LP3-EU-SM2</t>
        </is>
      </c>
      <c r="D23" t="inlineStr">
        <is>
          <t>three-phase</t>
        </is>
      </c>
      <c r="E23">
        <v>8000</v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>
        <v>48</v>
      </c>
      <c r="P23" t="inlineStr">
        <is>
          <t/>
        </is>
      </c>
      <c r="Q23" t="inlineStr">
        <is>
          <t>model_only_needs_datasheet</t>
        </is>
      </c>
      <c r="R23" t="inlineStr">
        <is>
          <t>Model list provided by user; datasheet parameters pending.</t>
        </is>
      </c>
    </row>
    <row r="24">
      <c r="A24" t="inlineStr">
        <is>
          <t>Deye</t>
        </is>
      </c>
      <c r="B24" t="inlineStr">
        <is>
          <t>Hybrid LV 3P</t>
        </is>
      </c>
      <c r="C24" t="inlineStr">
        <is>
          <t>SUN-10K-SG05LP3-EU-SM2</t>
        </is>
      </c>
      <c r="D24" t="inlineStr">
        <is>
          <t>three-phase</t>
        </is>
      </c>
      <c r="E24">
        <v>10000</v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>
        <v>48</v>
      </c>
      <c r="P24" t="inlineStr">
        <is>
          <t/>
        </is>
      </c>
      <c r="Q24" t="inlineStr">
        <is>
          <t>model_only_needs_datasheet</t>
        </is>
      </c>
      <c r="R24" t="inlineStr">
        <is>
          <t>Model list provided by user; datasheet parameters pending.</t>
        </is>
      </c>
    </row>
    <row r="25">
      <c r="A25" t="inlineStr">
        <is>
          <t>Deye</t>
        </is>
      </c>
      <c r="B25" t="inlineStr">
        <is>
          <t>Hybrid LV 3P</t>
        </is>
      </c>
      <c r="C25" t="inlineStr">
        <is>
          <t>SUN-12K-SG05LP3-EU-SM2</t>
        </is>
      </c>
      <c r="D25" t="inlineStr">
        <is>
          <t>three-phase</t>
        </is>
      </c>
      <c r="E25">
        <v>12000</v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>
        <v>48</v>
      </c>
      <c r="P25" t="inlineStr">
        <is>
          <t/>
        </is>
      </c>
      <c r="Q25" t="inlineStr">
        <is>
          <t>model_only_needs_datasheet</t>
        </is>
      </c>
      <c r="R25" t="inlineStr">
        <is>
          <t>Model list provided by user; datasheet parameters pending.</t>
        </is>
      </c>
    </row>
    <row r="26">
      <c r="A26" t="inlineStr">
        <is>
          <t>Deye</t>
        </is>
      </c>
      <c r="B26" t="inlineStr">
        <is>
          <t>Hybrid LV 3P</t>
        </is>
      </c>
      <c r="C26" t="inlineStr">
        <is>
          <t>SUN-14K-SG05LP3-EU-SM2</t>
        </is>
      </c>
      <c r="D26" t="inlineStr">
        <is>
          <t>three-phase</t>
        </is>
      </c>
      <c r="E26">
        <v>14000</v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>
        <v>48</v>
      </c>
      <c r="P26" t="inlineStr">
        <is>
          <t/>
        </is>
      </c>
      <c r="Q26" t="inlineStr">
        <is>
          <t>model_only_needs_datasheet</t>
        </is>
      </c>
      <c r="R26" t="inlineStr">
        <is>
          <t>Model list provided by user; datasheet parameters pending.</t>
        </is>
      </c>
    </row>
    <row r="27">
      <c r="A27" t="inlineStr">
        <is>
          <t>Deye</t>
        </is>
      </c>
      <c r="B27" t="inlineStr">
        <is>
          <t>Hybrid LV 3P</t>
        </is>
      </c>
      <c r="C27" t="inlineStr">
        <is>
          <t>SUN-15K-SG05LP3-EU-SM2</t>
        </is>
      </c>
      <c r="D27" t="inlineStr">
        <is>
          <t>three-phase</t>
        </is>
      </c>
      <c r="E27">
        <v>15000</v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>
        <v>48</v>
      </c>
      <c r="P27" t="inlineStr">
        <is>
          <t/>
        </is>
      </c>
      <c r="Q27" t="inlineStr">
        <is>
          <t>model_only_needs_datasheet</t>
        </is>
      </c>
      <c r="R27" t="inlineStr">
        <is>
          <t>Model list provided by user; datasheet parameters pending.</t>
        </is>
      </c>
    </row>
    <row r="28">
      <c r="A28" t="inlineStr">
        <is>
          <t>Deye</t>
        </is>
      </c>
      <c r="B28" t="inlineStr">
        <is>
          <t>Hybrid LV 3P</t>
        </is>
      </c>
      <c r="C28" t="inlineStr">
        <is>
          <t>SUN-16K-SG05LP3-EU-SM2</t>
        </is>
      </c>
      <c r="D28" t="inlineStr">
        <is>
          <t>three-phase</t>
        </is>
      </c>
      <c r="E28">
        <v>16000</v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>
        <v>48</v>
      </c>
      <c r="P28" t="inlineStr">
        <is>
          <t/>
        </is>
      </c>
      <c r="Q28" t="inlineStr">
        <is>
          <t>model_only_needs_datasheet</t>
        </is>
      </c>
      <c r="R28" t="inlineStr">
        <is>
          <t>Model list provided by user; datasheet parameters pending.</t>
        </is>
      </c>
    </row>
    <row r="29">
      <c r="A29" t="inlineStr">
        <is>
          <t>Deye</t>
        </is>
      </c>
      <c r="B29" t="inlineStr">
        <is>
          <t>Hybrid LV 3P</t>
        </is>
      </c>
      <c r="C29" t="inlineStr">
        <is>
          <t>SUN-18K-SG05LP3-EU-SM2</t>
        </is>
      </c>
      <c r="D29" t="inlineStr">
        <is>
          <t>three-phase</t>
        </is>
      </c>
      <c r="E29">
        <v>18000</v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>
        <v>48</v>
      </c>
      <c r="P29" t="inlineStr">
        <is>
          <t/>
        </is>
      </c>
      <c r="Q29" t="inlineStr">
        <is>
          <t>model_only_needs_datasheet</t>
        </is>
      </c>
      <c r="R29" t="inlineStr">
        <is>
          <t>Model list provided by user; datasheet parameters pending.</t>
        </is>
      </c>
    </row>
    <row r="30">
      <c r="A30" t="inlineStr">
        <is>
          <t>Deye</t>
        </is>
      </c>
      <c r="B30" t="inlineStr">
        <is>
          <t>Hybrid LV 3P</t>
        </is>
      </c>
      <c r="C30" t="inlineStr">
        <is>
          <t>SUN-20K-SG05LP3-EU-SM2</t>
        </is>
      </c>
      <c r="D30" t="inlineStr">
        <is>
          <t>three-phase</t>
        </is>
      </c>
      <c r="E30">
        <v>20000</v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>
        <v>48</v>
      </c>
      <c r="P30" t="inlineStr">
        <is>
          <t/>
        </is>
      </c>
      <c r="Q30" t="inlineStr">
        <is>
          <t>model_only_needs_datasheet</t>
        </is>
      </c>
      <c r="R30" t="inlineStr">
        <is>
          <t>Model list provided by user; datasheet parameters pending.</t>
        </is>
      </c>
    </row>
    <row r="31">
      <c r="A31" t="inlineStr">
        <is>
          <t>Deye</t>
        </is>
      </c>
      <c r="B31" t="inlineStr">
        <is>
          <t>Hybrid HV 3P</t>
        </is>
      </c>
      <c r="C31" t="inlineStr">
        <is>
          <t>SUN-10K-SG01HP3-EU-AM2</t>
        </is>
      </c>
      <c r="D31" t="inlineStr">
        <is>
          <t>three-phase</t>
        </is>
      </c>
      <c r="E31">
        <v>10000</v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>model_only_needs_datasheet</t>
        </is>
      </c>
      <c r="R31" t="inlineStr">
        <is>
          <t>Model list provided by user; datasheet parameters pending.</t>
        </is>
      </c>
    </row>
    <row r="32">
      <c r="A32" t="inlineStr">
        <is>
          <t>Deye</t>
        </is>
      </c>
      <c r="B32" t="inlineStr">
        <is>
          <t>Hybrid HV 3P</t>
        </is>
      </c>
      <c r="C32" t="inlineStr">
        <is>
          <t>SUN-12K-SG01HP3-EU-AM2</t>
        </is>
      </c>
      <c r="D32" t="inlineStr">
        <is>
          <t>three-phase</t>
        </is>
      </c>
      <c r="E32">
        <v>12000</v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>model_only_needs_datasheet</t>
        </is>
      </c>
      <c r="R32" t="inlineStr">
        <is>
          <t>Model list provided by user; datasheet parameters pending.</t>
        </is>
      </c>
    </row>
    <row r="33">
      <c r="A33" t="inlineStr">
        <is>
          <t>Deye</t>
        </is>
      </c>
      <c r="B33" t="inlineStr">
        <is>
          <t>Hybrid HV 3P</t>
        </is>
      </c>
      <c r="C33" t="inlineStr">
        <is>
          <t>SUN-15K-SG01HP3-EU-AM2</t>
        </is>
      </c>
      <c r="D33" t="inlineStr">
        <is>
          <t>three-phase</t>
        </is>
      </c>
      <c r="E33">
        <v>15000</v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>model_only_needs_datasheet</t>
        </is>
      </c>
      <c r="R33" t="inlineStr">
        <is>
          <t>Model list provided by user; datasheet parameters pending.</t>
        </is>
      </c>
    </row>
    <row r="34">
      <c r="A34" t="inlineStr">
        <is>
          <t>Deye</t>
        </is>
      </c>
      <c r="B34" t="inlineStr">
        <is>
          <t>Hybrid HV 3P</t>
        </is>
      </c>
      <c r="C34" t="inlineStr">
        <is>
          <t>SUN-20K-SG01HP3-EU-AM2</t>
        </is>
      </c>
      <c r="D34" t="inlineStr">
        <is>
          <t>three-phase</t>
        </is>
      </c>
      <c r="E34">
        <v>20000</v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>model_only_needs_datasheet</t>
        </is>
      </c>
      <c r="R34" t="inlineStr">
        <is>
          <t>Model list provided by user; datasheet parameters pending.</t>
        </is>
      </c>
    </row>
    <row r="35">
      <c r="A35" t="inlineStr">
        <is>
          <t>Deye</t>
        </is>
      </c>
      <c r="B35" t="inlineStr">
        <is>
          <t>Hybrid HV 3P</t>
        </is>
      </c>
      <c r="C35" t="inlineStr">
        <is>
          <t>SUN-25K-SG01HP3-EU-AM2</t>
        </is>
      </c>
      <c r="D35" t="inlineStr">
        <is>
          <t>three-phase</t>
        </is>
      </c>
      <c r="E35">
        <v>25000</v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>model_only_needs_datasheet</t>
        </is>
      </c>
      <c r="R35" t="inlineStr">
        <is>
          <t>Model list provided by user; datasheet parameters pending.</t>
        </is>
      </c>
    </row>
    <row r="36">
      <c r="A36" t="inlineStr">
        <is>
          <t>Deye</t>
        </is>
      </c>
      <c r="B36" t="inlineStr">
        <is>
          <t>Hybrid HV 3P</t>
        </is>
      </c>
      <c r="C36" t="inlineStr">
        <is>
          <t>SUN-30K-SG02HP3-EU-AM3</t>
        </is>
      </c>
      <c r="D36" t="inlineStr">
        <is>
          <t>three-phase</t>
        </is>
      </c>
      <c r="E36">
        <v>30000</v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>model_only_needs_datasheet</t>
        </is>
      </c>
      <c r="R36" t="inlineStr">
        <is>
          <t>Model list provided by user; datasheet parameters pending.</t>
        </is>
      </c>
    </row>
    <row r="37">
      <c r="A37" t="inlineStr">
        <is>
          <t>Deye</t>
        </is>
      </c>
      <c r="B37" t="inlineStr">
        <is>
          <t>Hybrid HV 3P</t>
        </is>
      </c>
      <c r="C37" t="inlineStr">
        <is>
          <t>SUN-40K-SG01HP3-EU-BM4</t>
        </is>
      </c>
      <c r="D37" t="inlineStr">
        <is>
          <t>three-phase</t>
        </is>
      </c>
      <c r="E37">
        <v>40000</v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>model_only_needs_datasheet</t>
        </is>
      </c>
      <c r="R37" t="inlineStr">
        <is>
          <t>Model list provided by user; datasheet parameters pending.</t>
        </is>
      </c>
    </row>
    <row r="38">
      <c r="A38" t="inlineStr">
        <is>
          <t>Deye</t>
        </is>
      </c>
      <c r="B38" t="inlineStr">
        <is>
          <t>Hybrid HV 3P</t>
        </is>
      </c>
      <c r="C38" t="inlineStr">
        <is>
          <t>SUN-50K-SG01HP3-EU-BM4</t>
        </is>
      </c>
      <c r="D38" t="inlineStr">
        <is>
          <t>three-phase</t>
        </is>
      </c>
      <c r="E38">
        <v>50000</v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>model_only_needs_datasheet</t>
        </is>
      </c>
      <c r="R38" t="inlineStr">
        <is>
          <t>Model list provided by user; datasheet parameters pending.</t>
        </is>
      </c>
    </row>
    <row r="39">
      <c r="A39" t="inlineStr">
        <is>
          <t>Deye</t>
        </is>
      </c>
      <c r="B39" t="inlineStr">
        <is>
          <t>Hybrid HV 3P</t>
        </is>
      </c>
      <c r="C39" t="inlineStr">
        <is>
          <t>SUN-60K-SG02HP3-EU-EM6</t>
        </is>
      </c>
      <c r="D39" t="inlineStr">
        <is>
          <t>three-phase</t>
        </is>
      </c>
      <c r="E39">
        <v>60000</v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>model_only_needs_datasheet</t>
        </is>
      </c>
      <c r="R39" t="inlineStr">
        <is>
          <t>Model list provided by user; datasheet parameters pending.</t>
        </is>
      </c>
    </row>
    <row r="40">
      <c r="A40" t="inlineStr">
        <is>
          <t>Deye</t>
        </is>
      </c>
      <c r="B40" t="inlineStr">
        <is>
          <t>Hybrid HV 3P</t>
        </is>
      </c>
      <c r="C40" t="inlineStr">
        <is>
          <t>SUN-70K-SG02HP3-EU-EM6</t>
        </is>
      </c>
      <c r="D40" t="inlineStr">
        <is>
          <t>three-phase</t>
        </is>
      </c>
      <c r="E40">
        <v>70000</v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>model_only_needs_datasheet</t>
        </is>
      </c>
      <c r="R40" t="inlineStr">
        <is>
          <t>Model list provided by user; datasheet parameters pending.</t>
        </is>
      </c>
    </row>
    <row r="41">
      <c r="A41" t="inlineStr">
        <is>
          <t>Deye</t>
        </is>
      </c>
      <c r="B41" t="inlineStr">
        <is>
          <t>Hybrid HV 3P</t>
        </is>
      </c>
      <c r="C41" t="inlineStr">
        <is>
          <t>SUN-75K-SG02HP3-EU-EM6</t>
        </is>
      </c>
      <c r="D41" t="inlineStr">
        <is>
          <t>three-phase</t>
        </is>
      </c>
      <c r="E41">
        <v>75000</v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>model_only_needs_datasheet</t>
        </is>
      </c>
      <c r="R41" t="inlineStr">
        <is>
          <t>Model list provided by user; datasheet parameters pending.</t>
        </is>
      </c>
    </row>
    <row r="42">
      <c r="A42" t="inlineStr">
        <is>
          <t>Deye</t>
        </is>
      </c>
      <c r="B42" t="inlineStr">
        <is>
          <t>Hybrid HV 3P</t>
        </is>
      </c>
      <c r="C42" t="inlineStr">
        <is>
          <t>SUN-80K-SG02HP3-EU-EM6</t>
        </is>
      </c>
      <c r="D42" t="inlineStr">
        <is>
          <t>three-phase</t>
        </is>
      </c>
      <c r="E42">
        <v>80000</v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>model_only_needs_datasheet</t>
        </is>
      </c>
      <c r="R42" t="inlineStr">
        <is>
          <t>Model list provided by user; datasheet parameters pending.</t>
        </is>
      </c>
    </row>
    <row r="43">
      <c r="A43" t="inlineStr">
        <is>
          <t>Deye</t>
        </is>
      </c>
      <c r="B43" t="inlineStr">
        <is>
          <t>Hybrid HV 3P</t>
        </is>
      </c>
      <c r="C43" t="inlineStr">
        <is>
          <t>SUN-100K-SG02HP3-EU-GM10</t>
        </is>
      </c>
      <c r="D43" t="inlineStr">
        <is>
          <t>three-phase</t>
        </is>
      </c>
      <c r="E43">
        <v>100000</v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>model_only_needs_datasheet</t>
        </is>
      </c>
      <c r="R43" t="inlineStr">
        <is>
          <t>Model list provided by user; datasheet parameters pending.</t>
        </is>
      </c>
    </row>
    <row r="44">
      <c r="A44" t="inlineStr">
        <is>
          <t>Deye</t>
        </is>
      </c>
      <c r="B44" t="inlineStr">
        <is>
          <t>Hybrid HV 3P</t>
        </is>
      </c>
      <c r="C44" t="inlineStr">
        <is>
          <t>SUN-125K-SG02HP3-EU-GM10</t>
        </is>
      </c>
      <c r="D44" t="inlineStr">
        <is>
          <t>three-phase</t>
        </is>
      </c>
      <c r="E44">
        <v>125000</v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>model_only_needs_datasheet</t>
        </is>
      </c>
      <c r="R44" t="inlineStr">
        <is>
          <t>Model list provided by user; datasheet parameters pending.</t>
        </is>
      </c>
    </row>
    <row r="45">
      <c r="A45" t="inlineStr">
        <is>
          <t>Deye</t>
        </is>
      </c>
      <c r="B45" t="inlineStr">
        <is>
          <t>Grid 1P</t>
        </is>
      </c>
      <c r="C45" t="inlineStr">
        <is>
          <t>SUN-1K-G04P1-EU-AM1</t>
        </is>
      </c>
      <c r="D45" t="inlineStr">
        <is>
          <t>single-phase</t>
        </is>
      </c>
      <c r="E45">
        <v>1000</v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>model_only_needs_datasheet</t>
        </is>
      </c>
      <c r="R45" t="inlineStr">
        <is>
          <t>Model list provided by user; datasheet parameters pending.</t>
        </is>
      </c>
    </row>
    <row r="46">
      <c r="A46" t="inlineStr">
        <is>
          <t>Deye</t>
        </is>
      </c>
      <c r="B46" t="inlineStr">
        <is>
          <t>Grid 1P</t>
        </is>
      </c>
      <c r="C46" t="inlineStr">
        <is>
          <t>SUN-1.5K-G04P1-EU-AM1</t>
        </is>
      </c>
      <c r="D46" t="inlineStr">
        <is>
          <t>single-phase</t>
        </is>
      </c>
      <c r="E46">
        <v>1500</v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>model_only_needs_datasheet</t>
        </is>
      </c>
      <c r="R46" t="inlineStr">
        <is>
          <t>Model list provided by user; datasheet parameters pending.</t>
        </is>
      </c>
    </row>
    <row r="47">
      <c r="A47" t="inlineStr">
        <is>
          <t>Deye</t>
        </is>
      </c>
      <c r="B47" t="inlineStr">
        <is>
          <t>Grid 1P</t>
        </is>
      </c>
      <c r="C47" t="inlineStr">
        <is>
          <t>SUN-2K-G04P1-EU-AM1</t>
        </is>
      </c>
      <c r="D47" t="inlineStr">
        <is>
          <t>single-phase</t>
        </is>
      </c>
      <c r="E47">
        <v>2000</v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>model_only_needs_datasheet</t>
        </is>
      </c>
      <c r="R47" t="inlineStr">
        <is>
          <t>Model list provided by user; datasheet parameters pending.</t>
        </is>
      </c>
    </row>
    <row r="48">
      <c r="A48" t="inlineStr">
        <is>
          <t>Deye</t>
        </is>
      </c>
      <c r="B48" t="inlineStr">
        <is>
          <t>Grid 1P</t>
        </is>
      </c>
      <c r="C48" t="inlineStr">
        <is>
          <t>SUN-3K-G04P1-EU-AM1</t>
        </is>
      </c>
      <c r="D48" t="inlineStr">
        <is>
          <t>single-phase</t>
        </is>
      </c>
      <c r="E48">
        <v>3000</v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>model_only_needs_datasheet</t>
        </is>
      </c>
      <c r="R48" t="inlineStr">
        <is>
          <t>Model list provided by user; datasheet parameters pending.</t>
        </is>
      </c>
    </row>
    <row r="49">
      <c r="A49" t="inlineStr">
        <is>
          <t>Deye</t>
        </is>
      </c>
      <c r="B49" t="inlineStr">
        <is>
          <t>Grid 1P</t>
        </is>
      </c>
      <c r="C49" t="inlineStr">
        <is>
          <t>SUN-3.6K-G04P1-EU-AM1</t>
        </is>
      </c>
      <c r="D49" t="inlineStr">
        <is>
          <t>single-phase</t>
        </is>
      </c>
      <c r="E49">
        <v>3600</v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>model_only_needs_datasheet</t>
        </is>
      </c>
      <c r="R49" t="inlineStr">
        <is>
          <t>Model list provided by user; datasheet parameters pending.</t>
        </is>
      </c>
    </row>
    <row r="50">
      <c r="A50" t="inlineStr">
        <is>
          <t>Deye</t>
        </is>
      </c>
      <c r="B50" t="inlineStr">
        <is>
          <t>Grid 1P</t>
        </is>
      </c>
      <c r="C50" t="inlineStr">
        <is>
          <t>SUN-4K-G04P1-EU-AM1</t>
        </is>
      </c>
      <c r="D50" t="inlineStr">
        <is>
          <t>single-phase</t>
        </is>
      </c>
      <c r="E50">
        <v>4000</v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>model_only_needs_datasheet</t>
        </is>
      </c>
      <c r="R50" t="inlineStr">
        <is>
          <t>Model list provided by user; datasheet parameters pending.</t>
        </is>
      </c>
    </row>
    <row r="51">
      <c r="A51" t="inlineStr">
        <is>
          <t>Deye</t>
        </is>
      </c>
      <c r="B51" t="inlineStr">
        <is>
          <t>Grid 1P</t>
        </is>
      </c>
      <c r="C51" t="inlineStr">
        <is>
          <t>SUN-4K-G05P1-EU-AM2</t>
        </is>
      </c>
      <c r="D51" t="inlineStr">
        <is>
          <t>single-phase</t>
        </is>
      </c>
      <c r="E51">
        <v>4000</v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>model_only_needs_datasheet</t>
        </is>
      </c>
      <c r="R51" t="inlineStr">
        <is>
          <t>Model list provided by user; datasheet parameters pending.</t>
        </is>
      </c>
    </row>
    <row r="52">
      <c r="A52" t="inlineStr">
        <is>
          <t>Deye</t>
        </is>
      </c>
      <c r="B52" t="inlineStr">
        <is>
          <t>Grid 1P</t>
        </is>
      </c>
      <c r="C52" t="inlineStr">
        <is>
          <t>SUN-5K-G05P1-EU-AM2</t>
        </is>
      </c>
      <c r="D52" t="inlineStr">
        <is>
          <t>single-phase</t>
        </is>
      </c>
      <c r="E52">
        <v>5000</v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>model_only_needs_datasheet</t>
        </is>
      </c>
      <c r="R52" t="inlineStr">
        <is>
          <t>Model list provided by user; datasheet parameters pending.</t>
        </is>
      </c>
    </row>
    <row r="53">
      <c r="A53" t="inlineStr">
        <is>
          <t>Deye</t>
        </is>
      </c>
      <c r="B53" t="inlineStr">
        <is>
          <t>Grid 1P</t>
        </is>
      </c>
      <c r="C53" t="inlineStr">
        <is>
          <t>SUN-6K-G05P1-EU-AM2</t>
        </is>
      </c>
      <c r="D53" t="inlineStr">
        <is>
          <t>single-phase</t>
        </is>
      </c>
      <c r="E53">
        <v>6000</v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>model_only_needs_datasheet</t>
        </is>
      </c>
      <c r="R53" t="inlineStr">
        <is>
          <t>Model list provided by user; datasheet parameters pending.</t>
        </is>
      </c>
    </row>
    <row r="54">
      <c r="A54" t="inlineStr">
        <is>
          <t>Deye</t>
        </is>
      </c>
      <c r="B54" t="inlineStr">
        <is>
          <t>Grid 1P</t>
        </is>
      </c>
      <c r="C54" t="inlineStr">
        <is>
          <t>SUN-7K-G02P1-EU-AM2</t>
        </is>
      </c>
      <c r="D54" t="inlineStr">
        <is>
          <t>single-phase</t>
        </is>
      </c>
      <c r="E54">
        <v>7000</v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>model_only_needs_datasheet</t>
        </is>
      </c>
      <c r="R54" t="inlineStr">
        <is>
          <t>Model list provided by user; datasheet parameters pending.</t>
        </is>
      </c>
    </row>
    <row r="55">
      <c r="A55" t="inlineStr">
        <is>
          <t>Deye</t>
        </is>
      </c>
      <c r="B55" t="inlineStr">
        <is>
          <t>Grid 1P</t>
        </is>
      </c>
      <c r="C55" t="inlineStr">
        <is>
          <t>SUN-7.5K-G02P1-EU-AM2</t>
        </is>
      </c>
      <c r="D55" t="inlineStr">
        <is>
          <t>single-phase</t>
        </is>
      </c>
      <c r="E55">
        <v>7500</v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>model_only_needs_datasheet</t>
        </is>
      </c>
      <c r="R55" t="inlineStr">
        <is>
          <t>Model list provided by user; datasheet parameters pending.</t>
        </is>
      </c>
    </row>
    <row r="56">
      <c r="A56" t="inlineStr">
        <is>
          <t>Deye</t>
        </is>
      </c>
      <c r="B56" t="inlineStr">
        <is>
          <t>Grid 1P</t>
        </is>
      </c>
      <c r="C56" t="inlineStr">
        <is>
          <t>SUN-8K-G02P1-EU-AM2</t>
        </is>
      </c>
      <c r="D56" t="inlineStr">
        <is>
          <t>single-phase</t>
        </is>
      </c>
      <c r="E56">
        <v>8000</v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>model_only_needs_datasheet</t>
        </is>
      </c>
      <c r="R56" t="inlineStr">
        <is>
          <t>Model list provided by user; datasheet parameters pending.</t>
        </is>
      </c>
    </row>
    <row r="57">
      <c r="A57" t="inlineStr">
        <is>
          <t>Deye</t>
        </is>
      </c>
      <c r="B57" t="inlineStr">
        <is>
          <t>Grid 1P</t>
        </is>
      </c>
      <c r="C57" t="inlineStr">
        <is>
          <t>SUN-9K-G02P1-EU-AM2</t>
        </is>
      </c>
      <c r="D57" t="inlineStr">
        <is>
          <t>single-phase</t>
        </is>
      </c>
      <c r="E57">
        <v>9000</v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>model_only_needs_datasheet</t>
        </is>
      </c>
      <c r="R57" t="inlineStr">
        <is>
          <t>Model list provided by user; datasheet parameters pending.</t>
        </is>
      </c>
    </row>
    <row r="58">
      <c r="A58" t="inlineStr">
        <is>
          <t>Deye</t>
        </is>
      </c>
      <c r="B58" t="inlineStr">
        <is>
          <t>Grid 1P</t>
        </is>
      </c>
      <c r="C58" t="inlineStr">
        <is>
          <t>SUN-10K-G02P1-EU-AM2</t>
        </is>
      </c>
      <c r="D58" t="inlineStr">
        <is>
          <t>single-phase</t>
        </is>
      </c>
      <c r="E58">
        <v>10000</v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>model_only_needs_datasheet</t>
        </is>
      </c>
      <c r="R58" t="inlineStr">
        <is>
          <t>Model list provided by user; datasheet parameters pending.</t>
        </is>
      </c>
    </row>
    <row r="59">
      <c r="A59" t="inlineStr">
        <is>
          <t>Deye</t>
        </is>
      </c>
      <c r="B59" t="inlineStr">
        <is>
          <t>Grid 3P</t>
        </is>
      </c>
      <c r="C59" t="inlineStr">
        <is>
          <t>SUN-4K-G06P3-EU-BM2-P1</t>
        </is>
      </c>
      <c r="D59" t="inlineStr">
        <is>
          <t>three-phase</t>
        </is>
      </c>
      <c r="E59">
        <v>4000</v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>model_only_needs_datasheet</t>
        </is>
      </c>
      <c r="R59" t="inlineStr">
        <is>
          <t>Model list provided by user; datasheet parameters pending.</t>
        </is>
      </c>
    </row>
    <row r="60">
      <c r="A60" t="inlineStr">
        <is>
          <t>Deye</t>
        </is>
      </c>
      <c r="B60" t="inlineStr">
        <is>
          <t>Grid 3P</t>
        </is>
      </c>
      <c r="C60" t="inlineStr">
        <is>
          <t>SUN-5K-G06P3-EU-BM2-P1</t>
        </is>
      </c>
      <c r="D60" t="inlineStr">
        <is>
          <t>three-phase</t>
        </is>
      </c>
      <c r="E60">
        <v>5000</v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>model_only_needs_datasheet</t>
        </is>
      </c>
      <c r="R60" t="inlineStr">
        <is>
          <t>Model list provided by user; datasheet parameters pending.</t>
        </is>
      </c>
    </row>
    <row r="61">
      <c r="A61" t="inlineStr">
        <is>
          <t>Deye</t>
        </is>
      </c>
      <c r="B61" t="inlineStr">
        <is>
          <t>Grid 3P</t>
        </is>
      </c>
      <c r="C61" t="inlineStr">
        <is>
          <t>SUN-6K-G06P3-EU-BM2-P1</t>
        </is>
      </c>
      <c r="D61" t="inlineStr">
        <is>
          <t>three-phase</t>
        </is>
      </c>
      <c r="E61">
        <v>6000</v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>model_only_needs_datasheet</t>
        </is>
      </c>
      <c r="R61" t="inlineStr">
        <is>
          <t>Model list provided by user; datasheet parameters pending.</t>
        </is>
      </c>
    </row>
    <row r="62">
      <c r="A62" t="inlineStr">
        <is>
          <t>Deye</t>
        </is>
      </c>
      <c r="B62" t="inlineStr">
        <is>
          <t>Grid 3P</t>
        </is>
      </c>
      <c r="C62" t="inlineStr">
        <is>
          <t>SUN-7K-G06P3-EU-BM2-P1</t>
        </is>
      </c>
      <c r="D62" t="inlineStr">
        <is>
          <t>three-phase</t>
        </is>
      </c>
      <c r="E62">
        <v>7000</v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>model_only_needs_datasheet</t>
        </is>
      </c>
      <c r="R62" t="inlineStr">
        <is>
          <t>Model list provided by user; datasheet parameters pending.</t>
        </is>
      </c>
    </row>
    <row r="63">
      <c r="A63" t="inlineStr">
        <is>
          <t>Deye</t>
        </is>
      </c>
      <c r="B63" t="inlineStr">
        <is>
          <t>Grid 3P</t>
        </is>
      </c>
      <c r="C63" t="inlineStr">
        <is>
          <t>SUN-8K-G06P3-EU-BM2-P1</t>
        </is>
      </c>
      <c r="D63" t="inlineStr">
        <is>
          <t>three-phase</t>
        </is>
      </c>
      <c r="E63">
        <v>8000</v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>model_only_needs_datasheet</t>
        </is>
      </c>
      <c r="R63" t="inlineStr">
        <is>
          <t>Model list provided by user; datasheet parameters pending.</t>
        </is>
      </c>
    </row>
    <row r="64">
      <c r="A64" t="inlineStr">
        <is>
          <t>Deye</t>
        </is>
      </c>
      <c r="B64" t="inlineStr">
        <is>
          <t>Grid 3P</t>
        </is>
      </c>
      <c r="C64" t="inlineStr">
        <is>
          <t>SUN-9K-G06P3-EU-BM2-P1</t>
        </is>
      </c>
      <c r="D64" t="inlineStr">
        <is>
          <t>three-phase</t>
        </is>
      </c>
      <c r="E64">
        <v>9000</v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>model_only_needs_datasheet</t>
        </is>
      </c>
      <c r="R64" t="inlineStr">
        <is>
          <t>Model list provided by user; datasheet parameters pending.</t>
        </is>
      </c>
    </row>
    <row r="65">
      <c r="A65" t="inlineStr">
        <is>
          <t>Deye</t>
        </is>
      </c>
      <c r="B65" t="inlineStr">
        <is>
          <t>Grid 3P</t>
        </is>
      </c>
      <c r="C65" t="inlineStr">
        <is>
          <t>SUN-10K-G06P3-EU-BM2-P1</t>
        </is>
      </c>
      <c r="D65" t="inlineStr">
        <is>
          <t>three-phase</t>
        </is>
      </c>
      <c r="E65">
        <v>10000</v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>model_only_needs_datasheet</t>
        </is>
      </c>
      <c r="R65" t="inlineStr">
        <is>
          <t>Model list provided by user; datasheet parameters pending.</t>
        </is>
      </c>
    </row>
    <row r="66">
      <c r="A66" t="inlineStr">
        <is>
          <t>Deye</t>
        </is>
      </c>
      <c r="B66" t="inlineStr">
        <is>
          <t>Grid 3P</t>
        </is>
      </c>
      <c r="C66" t="inlineStr">
        <is>
          <t>SUN-12K-G06P3-EU-BM2-P1</t>
        </is>
      </c>
      <c r="D66" t="inlineStr">
        <is>
          <t>three-phase</t>
        </is>
      </c>
      <c r="E66">
        <v>12000</v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>model_only_needs_datasheet</t>
        </is>
      </c>
      <c r="R66" t="inlineStr">
        <is>
          <t>Model list provided by user; datasheet parameters pending.</t>
        </is>
      </c>
    </row>
    <row r="67">
      <c r="A67" t="inlineStr">
        <is>
          <t>Deye</t>
        </is>
      </c>
      <c r="B67" t="inlineStr">
        <is>
          <t>Grid 3P</t>
        </is>
      </c>
      <c r="C67" t="inlineStr">
        <is>
          <t>SUN-15K-G06P3-EU-BM2-P1</t>
        </is>
      </c>
      <c r="D67" t="inlineStr">
        <is>
          <t>three-phase</t>
        </is>
      </c>
      <c r="E67">
        <v>15000</v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>model_only_needs_datasheet</t>
        </is>
      </c>
      <c r="R67" t="inlineStr">
        <is>
          <t>Model list provided by user; datasheet parameters pending.</t>
        </is>
      </c>
    </row>
    <row r="68">
      <c r="A68" t="inlineStr">
        <is>
          <t>Deye</t>
        </is>
      </c>
      <c r="B68" t="inlineStr">
        <is>
          <t>Grid 3P</t>
        </is>
      </c>
      <c r="C68" t="inlineStr">
        <is>
          <t>SUN-18K-G05</t>
        </is>
      </c>
      <c r="D68" t="inlineStr">
        <is>
          <t>three-phase</t>
        </is>
      </c>
      <c r="E68">
        <v>18000</v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>model_only_needs_datasheet</t>
        </is>
      </c>
      <c r="R68" t="inlineStr">
        <is>
          <t>Model list provided by user; datasheet parameters pending.</t>
        </is>
      </c>
    </row>
    <row r="69">
      <c r="A69" t="inlineStr">
        <is>
          <t>Deye</t>
        </is>
      </c>
      <c r="B69" t="inlineStr">
        <is>
          <t>Grid 3P</t>
        </is>
      </c>
      <c r="C69" t="inlineStr">
        <is>
          <t>SUN-20K-G05</t>
        </is>
      </c>
      <c r="D69" t="inlineStr">
        <is>
          <t>three-phase</t>
        </is>
      </c>
      <c r="E69">
        <v>20000</v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>model_only_needs_datasheet</t>
        </is>
      </c>
      <c r="R69" t="inlineStr">
        <is>
          <t>Model list provided by user; datasheet parameters pending.</t>
        </is>
      </c>
    </row>
    <row r="70">
      <c r="A70" t="inlineStr">
        <is>
          <t>Deye</t>
        </is>
      </c>
      <c r="B70" t="inlineStr">
        <is>
          <t>Grid 3P</t>
        </is>
      </c>
      <c r="C70" t="inlineStr">
        <is>
          <t>SUN-25K-G05</t>
        </is>
      </c>
      <c r="D70" t="inlineStr">
        <is>
          <t>three-phase</t>
        </is>
      </c>
      <c r="E70">
        <v>25000</v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>model_only_needs_datasheet</t>
        </is>
      </c>
      <c r="R70" t="inlineStr">
        <is>
          <t>Model list provided by user; datasheet parameters pending.</t>
        </is>
      </c>
    </row>
    <row r="71">
      <c r="A71" t="inlineStr">
        <is>
          <t>Deye</t>
        </is>
      </c>
      <c r="B71" t="inlineStr">
        <is>
          <t>Grid 3P</t>
        </is>
      </c>
      <c r="C71" t="inlineStr">
        <is>
          <t>SUN-30K-G04</t>
        </is>
      </c>
      <c r="D71" t="inlineStr">
        <is>
          <t>three-phase</t>
        </is>
      </c>
      <c r="E71">
        <v>30000</v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>model_only_needs_datasheet</t>
        </is>
      </c>
      <c r="R71" t="inlineStr">
        <is>
          <t>Model list provided by user; datasheet parameters pending.</t>
        </is>
      </c>
    </row>
    <row r="72">
      <c r="A72" t="inlineStr">
        <is>
          <t>Deye</t>
        </is>
      </c>
      <c r="B72" t="inlineStr">
        <is>
          <t>Grid 3P</t>
        </is>
      </c>
      <c r="C72" t="inlineStr">
        <is>
          <t>SUN-33K-G04</t>
        </is>
      </c>
      <c r="D72" t="inlineStr">
        <is>
          <t>three-phase</t>
        </is>
      </c>
      <c r="E72">
        <v>33000</v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>model_only_needs_datasheet</t>
        </is>
      </c>
      <c r="R72" t="inlineStr">
        <is>
          <t>Model list provided by user; datasheet parameters pending.</t>
        </is>
      </c>
    </row>
    <row r="73">
      <c r="A73" t="inlineStr">
        <is>
          <t>Deye</t>
        </is>
      </c>
      <c r="B73" t="inlineStr">
        <is>
          <t>Grid 3P</t>
        </is>
      </c>
      <c r="C73" t="inlineStr">
        <is>
          <t>SUN-35K-G04</t>
        </is>
      </c>
      <c r="D73" t="inlineStr">
        <is>
          <t>three-phase</t>
        </is>
      </c>
      <c r="E73">
        <v>35000</v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>model_only_needs_datasheet</t>
        </is>
      </c>
      <c r="R73" t="inlineStr">
        <is>
          <t>Model list provided by user; datasheet parameters pending.</t>
        </is>
      </c>
    </row>
    <row r="74">
      <c r="A74" t="inlineStr">
        <is>
          <t>Deye</t>
        </is>
      </c>
      <c r="B74" t="inlineStr">
        <is>
          <t>Grid 3P</t>
        </is>
      </c>
      <c r="C74" t="inlineStr">
        <is>
          <t>SUN-40K-G04</t>
        </is>
      </c>
      <c r="D74" t="inlineStr">
        <is>
          <t>three-phase</t>
        </is>
      </c>
      <c r="E74">
        <v>40000</v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>model_only_needs_datasheet</t>
        </is>
      </c>
      <c r="R74" t="inlineStr">
        <is>
          <t>Model list provided by user; datasheet parameters pending.</t>
        </is>
      </c>
    </row>
    <row r="75">
      <c r="A75" t="inlineStr">
        <is>
          <t>Deye</t>
        </is>
      </c>
      <c r="B75" t="inlineStr">
        <is>
          <t>Grid 3P</t>
        </is>
      </c>
      <c r="C75" t="inlineStr">
        <is>
          <t>SUN-45K-G04</t>
        </is>
      </c>
      <c r="D75" t="inlineStr">
        <is>
          <t>three-phase</t>
        </is>
      </c>
      <c r="E75">
        <v>45000</v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>model_only_needs_datasheet</t>
        </is>
      </c>
      <c r="R75" t="inlineStr">
        <is>
          <t>Model list provided by user; datasheet parameters pending.</t>
        </is>
      </c>
    </row>
    <row r="76">
      <c r="A76" t="inlineStr">
        <is>
          <t>Deye</t>
        </is>
      </c>
      <c r="B76" t="inlineStr">
        <is>
          <t>Grid 3P</t>
        </is>
      </c>
      <c r="C76" t="inlineStr">
        <is>
          <t>SUN-50K-G04</t>
        </is>
      </c>
      <c r="D76" t="inlineStr">
        <is>
          <t>three-phase</t>
        </is>
      </c>
      <c r="E76">
        <v>50000</v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>model_only_needs_datasheet</t>
        </is>
      </c>
      <c r="R76" t="inlineStr">
        <is>
          <t>Model list provided by user; datasheet parameters pending.</t>
        </is>
      </c>
    </row>
    <row r="77">
      <c r="A77" t="inlineStr">
        <is>
          <t>Deye</t>
        </is>
      </c>
      <c r="B77" t="inlineStr">
        <is>
          <t>Grid 3P</t>
        </is>
      </c>
      <c r="C77" t="inlineStr">
        <is>
          <t>SUN-60K-G04P3-EU-AM4</t>
        </is>
      </c>
      <c r="D77" t="inlineStr">
        <is>
          <t>three-phase</t>
        </is>
      </c>
      <c r="E77">
        <v>60000</v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>model_only_needs_datasheet</t>
        </is>
      </c>
      <c r="R77" t="inlineStr">
        <is>
          <t>Model list provided by user; datasheet parameters pending.</t>
        </is>
      </c>
    </row>
    <row r="78">
      <c r="A78" t="inlineStr">
        <is>
          <t>Deye</t>
        </is>
      </c>
      <c r="B78" t="inlineStr">
        <is>
          <t>Grid 3P</t>
        </is>
      </c>
      <c r="C78" t="inlineStr">
        <is>
          <t>SUN-70K-G04P3-EU-AM4</t>
        </is>
      </c>
      <c r="D78" t="inlineStr">
        <is>
          <t>three-phase</t>
        </is>
      </c>
      <c r="E78">
        <v>70000</v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>model_only_needs_datasheet</t>
        </is>
      </c>
      <c r="R78" t="inlineStr">
        <is>
          <t>Model list provided by user; datasheet parameters pending.</t>
        </is>
      </c>
    </row>
    <row r="79">
      <c r="A79" t="inlineStr">
        <is>
          <t>Deye</t>
        </is>
      </c>
      <c r="B79" t="inlineStr">
        <is>
          <t>Grid 3P</t>
        </is>
      </c>
      <c r="C79" t="inlineStr">
        <is>
          <t>SUN-75K-G04P3-EU-AM4</t>
        </is>
      </c>
      <c r="D79" t="inlineStr">
        <is>
          <t>three-phase</t>
        </is>
      </c>
      <c r="E79">
        <v>75000</v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>model_only_needs_datasheet</t>
        </is>
      </c>
      <c r="R79" t="inlineStr">
        <is>
          <t>Model list provided by user; datasheet parameters pending.</t>
        </is>
      </c>
    </row>
    <row r="80">
      <c r="A80" t="inlineStr">
        <is>
          <t>Deye</t>
        </is>
      </c>
      <c r="B80" t="inlineStr">
        <is>
          <t>Grid 3P</t>
        </is>
      </c>
      <c r="C80" t="inlineStr">
        <is>
          <t>SUN-80K-G04P3-EU-AM4</t>
        </is>
      </c>
      <c r="D80" t="inlineStr">
        <is>
          <t>three-phase</t>
        </is>
      </c>
      <c r="E80">
        <v>80000</v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>model_only_needs_datasheet</t>
        </is>
      </c>
      <c r="R80" t="inlineStr">
        <is>
          <t>Model list provided by user; datasheet parameters pending.</t>
        </is>
      </c>
    </row>
    <row r="81">
      <c r="A81" t="inlineStr">
        <is>
          <t>Deye</t>
        </is>
      </c>
      <c r="B81" t="inlineStr">
        <is>
          <t>Grid 3P</t>
        </is>
      </c>
      <c r="C81" t="inlineStr">
        <is>
          <t>SUN-100K-G03</t>
        </is>
      </c>
      <c r="D81" t="inlineStr">
        <is>
          <t>three-phase</t>
        </is>
      </c>
      <c r="E81">
        <v>100000</v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>model_only_needs_datasheet</t>
        </is>
      </c>
      <c r="R81" t="inlineStr">
        <is>
          <t>Model list provided by user; datasheet parameters pending.</t>
        </is>
      </c>
    </row>
    <row r="82">
      <c r="A82" t="inlineStr">
        <is>
          <t>Deye</t>
        </is>
      </c>
      <c r="B82" t="inlineStr">
        <is>
          <t>Grid 3P</t>
        </is>
      </c>
      <c r="C82" t="inlineStr">
        <is>
          <t>SUN-110K-G03</t>
        </is>
      </c>
      <c r="D82" t="inlineStr">
        <is>
          <t>three-phase</t>
        </is>
      </c>
      <c r="E82">
        <v>110000</v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>model_only_needs_datasheet</t>
        </is>
      </c>
      <c r="R82" t="inlineStr">
        <is>
          <t>Model list provided by user; datasheet parameters pending.</t>
        </is>
      </c>
    </row>
    <row r="83">
      <c r="A83" t="inlineStr">
        <is>
          <t>Deye</t>
        </is>
      </c>
      <c r="B83" t="inlineStr">
        <is>
          <t>Grid 3P</t>
        </is>
      </c>
      <c r="C83" t="inlineStr">
        <is>
          <t>SUN-120K-G01P3-EU-AM8</t>
        </is>
      </c>
      <c r="D83" t="inlineStr">
        <is>
          <t>three-phase</t>
        </is>
      </c>
      <c r="E83">
        <v>120000</v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>model_only_needs_datasheet</t>
        </is>
      </c>
      <c r="R83" t="inlineStr">
        <is>
          <t>Model list provided by user; datasheet parameters pending.</t>
        </is>
      </c>
    </row>
    <row r="84">
      <c r="A84" t="inlineStr">
        <is>
          <t>Deye</t>
        </is>
      </c>
      <c r="B84" t="inlineStr">
        <is>
          <t>Grid 3P</t>
        </is>
      </c>
      <c r="C84" t="inlineStr">
        <is>
          <t>SUN-125K-G01P3-EU-AM8</t>
        </is>
      </c>
      <c r="D84" t="inlineStr">
        <is>
          <t>three-phase</t>
        </is>
      </c>
      <c r="E84">
        <v>125000</v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>model_only_needs_datasheet</t>
        </is>
      </c>
      <c r="R84" t="inlineStr">
        <is>
          <t>Model list provided by user; datasheet parameters pending.</t>
        </is>
      </c>
    </row>
    <row r="85">
      <c r="A85" t="inlineStr">
        <is>
          <t>Deye</t>
        </is>
      </c>
      <c r="B85" t="inlineStr">
        <is>
          <t>Grid 3P</t>
        </is>
      </c>
      <c r="C85" t="inlineStr">
        <is>
          <t>SUN-130K-G01P3-EU-AM8</t>
        </is>
      </c>
      <c r="D85" t="inlineStr">
        <is>
          <t>three-phase</t>
        </is>
      </c>
      <c r="E85">
        <v>130000</v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>model_only_needs_datasheet</t>
        </is>
      </c>
      <c r="R85" t="inlineStr">
        <is>
          <t>Model list provided by user; datasheet parameters pending.</t>
        </is>
      </c>
    </row>
    <row r="86">
      <c r="A86" t="inlineStr">
        <is>
          <t>Deye</t>
        </is>
      </c>
      <c r="B86" t="inlineStr">
        <is>
          <t>Grid 3P</t>
        </is>
      </c>
      <c r="C86" t="inlineStr">
        <is>
          <t>SUN-135K-G01P3-EU-AM8</t>
        </is>
      </c>
      <c r="D86" t="inlineStr">
        <is>
          <t>three-phase</t>
        </is>
      </c>
      <c r="E86">
        <v>135000</v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>model_only_needs_datasheet</t>
        </is>
      </c>
      <c r="R86" t="inlineStr">
        <is>
          <t>Model list provided by user; datasheet parameters pending.</t>
        </is>
      </c>
    </row>
    <row r="87">
      <c r="A87" t="inlineStr">
        <is>
          <t>Deye</t>
        </is>
      </c>
      <c r="B87" t="inlineStr">
        <is>
          <t>Grid 3P</t>
        </is>
      </c>
      <c r="C87" t="inlineStr">
        <is>
          <t>SUN-136K-G01P3-EU-AM8</t>
        </is>
      </c>
      <c r="D87" t="inlineStr">
        <is>
          <t>three-phase</t>
        </is>
      </c>
      <c r="E87">
        <v>136000</v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>model_only_needs_datasheet</t>
        </is>
      </c>
      <c r="R87" t="inlineStr">
        <is>
          <t>Model list provided by user; datasheet parameters pending.</t>
        </is>
      </c>
    </row>
    <row r="88">
      <c r="A88" t="inlineStr">
        <is>
          <t>Deye</t>
        </is>
      </c>
      <c r="B88" t="inlineStr">
        <is>
          <t>LV Hybrid</t>
        </is>
      </c>
      <c r="C88" t="inlineStr">
        <is>
          <t>SUN-3.6K-SG03LP1-EU</t>
        </is>
      </c>
      <c r="D88" t="inlineStr">
        <is>
          <t>single-phase</t>
        </is>
      </c>
      <c r="E88">
        <v>3600</v>
      </c>
      <c r="F88">
        <v>4680</v>
      </c>
      <c r="G88">
        <v>500</v>
      </c>
      <c r="H88">
        <v>150</v>
      </c>
      <c r="I88">
        <v>125</v>
      </c>
      <c r="J88">
        <v>425</v>
      </c>
      <c r="K88">
        <v>2</v>
      </c>
      <c r="L88" t="inlineStr">
        <is>
          <t>1+1</t>
        </is>
      </c>
      <c r="M88">
        <v>13</v>
      </c>
      <c r="N88">
        <v>17</v>
      </c>
      <c r="O88">
        <v>48</v>
      </c>
      <c r="P88" t="inlineStr">
        <is>
          <t>40-60</t>
        </is>
      </c>
      <c r="Q88" t="inlineStr">
        <is>
          <t>seed_verify_datasheet</t>
        </is>
      </c>
      <c r="R88" t="inlineStr">
        <is>
          <t>Starter record for low-voltage hybrid inverter calculations.</t>
        </is>
      </c>
    </row>
    <row r="89">
      <c r="A89" t="inlineStr">
        <is>
          <t>Deye</t>
        </is>
      </c>
      <c r="B89" t="inlineStr">
        <is>
          <t>LV Hybrid</t>
        </is>
      </c>
      <c r="C89" t="inlineStr">
        <is>
          <t>SUN-5K-SG03LP1-EU</t>
        </is>
      </c>
      <c r="D89" t="inlineStr">
        <is>
          <t>single-phase</t>
        </is>
      </c>
      <c r="E89">
        <v>5000</v>
      </c>
      <c r="F89">
        <v>6500</v>
      </c>
      <c r="G89">
        <v>500</v>
      </c>
      <c r="H89">
        <v>150</v>
      </c>
      <c r="I89">
        <v>125</v>
      </c>
      <c r="J89">
        <v>425</v>
      </c>
      <c r="K89">
        <v>2</v>
      </c>
      <c r="L89" t="inlineStr">
        <is>
          <t>1+1</t>
        </is>
      </c>
      <c r="M89">
        <v>13</v>
      </c>
      <c r="N89">
        <v>17</v>
      </c>
      <c r="O89">
        <v>48</v>
      </c>
      <c r="P89" t="inlineStr">
        <is>
          <t>40-60</t>
        </is>
      </c>
      <c r="Q89" t="inlineStr">
        <is>
          <t>seed_verify_datasheet</t>
        </is>
      </c>
      <c r="R89" t="inlineStr">
        <is>
          <t>Starter record for low-voltage hybrid inverter calculations.</t>
        </is>
      </c>
    </row>
    <row r="90">
      <c r="A90" t="inlineStr">
        <is>
          <t>Deye</t>
        </is>
      </c>
      <c r="B90" t="inlineStr">
        <is>
          <t>LV Hybrid</t>
        </is>
      </c>
      <c r="C90" t="inlineStr">
        <is>
          <t>SUN-6K-SG03LP1-EU</t>
        </is>
      </c>
      <c r="D90" t="inlineStr">
        <is>
          <t>single-phase</t>
        </is>
      </c>
      <c r="E90">
        <v>6000</v>
      </c>
      <c r="F90">
        <v>7800</v>
      </c>
      <c r="G90">
        <v>500</v>
      </c>
      <c r="H90">
        <v>150</v>
      </c>
      <c r="I90">
        <v>125</v>
      </c>
      <c r="J90">
        <v>425</v>
      </c>
      <c r="K90">
        <v>2</v>
      </c>
      <c r="L90" t="inlineStr">
        <is>
          <t>1+1</t>
        </is>
      </c>
      <c r="M90">
        <v>13</v>
      </c>
      <c r="N90">
        <v>17</v>
      </c>
      <c r="O90">
        <v>48</v>
      </c>
      <c r="P90" t="inlineStr">
        <is>
          <t>40-60</t>
        </is>
      </c>
      <c r="Q90" t="inlineStr">
        <is>
          <t>seed_verify_datasheet</t>
        </is>
      </c>
      <c r="R90" t="inlineStr">
        <is>
          <t>Starter record for low-voltage hybrid inverter calculations.</t>
        </is>
      </c>
    </row>
    <row r="91">
      <c r="A91" t="inlineStr">
        <is>
          <t>Deye</t>
        </is>
      </c>
      <c r="B91" t="inlineStr">
        <is>
          <t>LV Hybrid</t>
        </is>
      </c>
      <c r="C91" t="inlineStr">
        <is>
          <t>SUN-8K-SG01LP1-EU</t>
        </is>
      </c>
      <c r="D91" t="inlineStr">
        <is>
          <t>single-phase</t>
        </is>
      </c>
      <c r="E91">
        <v>8000</v>
      </c>
      <c r="F91">
        <v>10400</v>
      </c>
      <c r="G91">
        <v>500</v>
      </c>
      <c r="H91">
        <v>150</v>
      </c>
      <c r="I91">
        <v>125</v>
      </c>
      <c r="J91">
        <v>425</v>
      </c>
      <c r="K91">
        <v>2</v>
      </c>
      <c r="L91" t="inlineStr">
        <is>
          <t>2+2</t>
        </is>
      </c>
      <c r="M91">
        <v>26</v>
      </c>
      <c r="N91">
        <v>34</v>
      </c>
      <c r="O91">
        <v>48</v>
      </c>
      <c r="P91" t="inlineStr">
        <is>
          <t>40-60</t>
        </is>
      </c>
      <c r="Q91" t="inlineStr">
        <is>
          <t>seed_verify_datasheet</t>
        </is>
      </c>
      <c r="R91" t="inlineStr">
        <is>
          <t>Starter record; verify exact PV current and string inputs for selected market version.</t>
        </is>
      </c>
    </row>
    <row r="92">
      <c r="A92" t="inlineStr">
        <is>
          <t>Growatt</t>
        </is>
      </c>
      <c r="B92" t="inlineStr">
        <is>
          <t>SPH TL BL-UP</t>
        </is>
      </c>
      <c r="C92" t="inlineStr">
        <is>
          <t>SPH 3000TL BL-UP</t>
        </is>
      </c>
      <c r="D92" t="inlineStr">
        <is>
          <t>single-phase</t>
        </is>
      </c>
      <c r="E92">
        <v>3000</v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>model_only_needs_datasheet</t>
        </is>
      </c>
      <c r="R92" t="inlineStr">
        <is>
          <t>Hybrid/storage inverter model candidate; datasheet parameters pending.</t>
        </is>
      </c>
    </row>
    <row r="93">
      <c r="A93" t="inlineStr">
        <is>
          <t>Growatt</t>
        </is>
      </c>
      <c r="B93" t="inlineStr">
        <is>
          <t>SPH TL BL-UP</t>
        </is>
      </c>
      <c r="C93" t="inlineStr">
        <is>
          <t>SPH 3600TL BL-UP</t>
        </is>
      </c>
      <c r="D93" t="inlineStr">
        <is>
          <t>single-phase</t>
        </is>
      </c>
      <c r="E93">
        <v>3600</v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>model_only_needs_datasheet</t>
        </is>
      </c>
      <c r="R93" t="inlineStr">
        <is>
          <t>Hybrid/storage inverter model candidate; datasheet parameters pending.</t>
        </is>
      </c>
    </row>
    <row r="94">
      <c r="A94" t="inlineStr">
        <is>
          <t>Growatt</t>
        </is>
      </c>
      <c r="B94" t="inlineStr">
        <is>
          <t>SPH TL BL-UP</t>
        </is>
      </c>
      <c r="C94" t="inlineStr">
        <is>
          <t>SPH 4000TL BL-UP</t>
        </is>
      </c>
      <c r="D94" t="inlineStr">
        <is>
          <t>single-phase</t>
        </is>
      </c>
      <c r="E94">
        <v>4000</v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>model_only_needs_datasheet</t>
        </is>
      </c>
      <c r="R94" t="inlineStr">
        <is>
          <t>Hybrid/storage inverter model candidate; datasheet parameters pending.</t>
        </is>
      </c>
    </row>
    <row r="95">
      <c r="A95" t="inlineStr">
        <is>
          <t>Growatt</t>
        </is>
      </c>
      <c r="B95" t="inlineStr">
        <is>
          <t>SPH TL BL-UP</t>
        </is>
      </c>
      <c r="C95" t="inlineStr">
        <is>
          <t>SPH 4600TL BL-UP</t>
        </is>
      </c>
      <c r="D95" t="inlineStr">
        <is>
          <t>single-phase</t>
        </is>
      </c>
      <c r="E95">
        <v>4600</v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>model_only_needs_datasheet</t>
        </is>
      </c>
      <c r="R95" t="inlineStr">
        <is>
          <t>Hybrid/storage inverter model candidate; datasheet parameters pending.</t>
        </is>
      </c>
    </row>
    <row r="96">
      <c r="A96" t="inlineStr">
        <is>
          <t>Growatt</t>
        </is>
      </c>
      <c r="B96" t="inlineStr">
        <is>
          <t>SPH TL BL-UP</t>
        </is>
      </c>
      <c r="C96" t="inlineStr">
        <is>
          <t>SPH 5000TL BL-UP</t>
        </is>
      </c>
      <c r="D96" t="inlineStr">
        <is>
          <t>single-phase</t>
        </is>
      </c>
      <c r="E96">
        <v>5000</v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>model_only_needs_datasheet</t>
        </is>
      </c>
      <c r="R96" t="inlineStr">
        <is>
          <t>Hybrid/storage inverter model candidate; datasheet parameters pending.</t>
        </is>
      </c>
    </row>
    <row r="97">
      <c r="A97" t="inlineStr">
        <is>
          <t>Growatt</t>
        </is>
      </c>
      <c r="B97" t="inlineStr">
        <is>
          <t>SPH TL BL-UP</t>
        </is>
      </c>
      <c r="C97" t="inlineStr">
        <is>
          <t>SPH 6000TL BL-UP</t>
        </is>
      </c>
      <c r="D97" t="inlineStr">
        <is>
          <t>single-phase</t>
        </is>
      </c>
      <c r="E97">
        <v>6000</v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>model_only_needs_datasheet</t>
        </is>
      </c>
      <c r="R97" t="inlineStr">
        <is>
          <t>Hybrid/storage inverter model candidate; datasheet parameters pending.</t>
        </is>
      </c>
    </row>
    <row r="98">
      <c r="A98" t="inlineStr">
        <is>
          <t>Growatt</t>
        </is>
      </c>
      <c r="B98" t="inlineStr">
        <is>
          <t>SPH TL3 BH-UP</t>
        </is>
      </c>
      <c r="C98" t="inlineStr">
        <is>
          <t>SPH 4000TL3 BH-UP</t>
        </is>
      </c>
      <c r="D98" t="inlineStr">
        <is>
          <t>three-phase</t>
        </is>
      </c>
      <c r="E98">
        <v>4000</v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>model_only_needs_datasheet</t>
        </is>
      </c>
      <c r="R98" t="inlineStr">
        <is>
          <t>Hybrid/storage inverter model candidate; datasheet parameters pending.</t>
        </is>
      </c>
    </row>
    <row r="99">
      <c r="A99" t="inlineStr">
        <is>
          <t>Growatt</t>
        </is>
      </c>
      <c r="B99" t="inlineStr">
        <is>
          <t>SPH TL3 BH-UP</t>
        </is>
      </c>
      <c r="C99" t="inlineStr">
        <is>
          <t>SPH 5000TL3 BH-UP</t>
        </is>
      </c>
      <c r="D99" t="inlineStr">
        <is>
          <t>three-phase</t>
        </is>
      </c>
      <c r="E99">
        <v>5000</v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>model_only_needs_datasheet</t>
        </is>
      </c>
      <c r="R99" t="inlineStr">
        <is>
          <t>Hybrid/storage inverter model candidate; datasheet parameters pending.</t>
        </is>
      </c>
    </row>
    <row r="100">
      <c r="A100" t="inlineStr">
        <is>
          <t>Growatt</t>
        </is>
      </c>
      <c r="B100" t="inlineStr">
        <is>
          <t>SPH TL3 BH-UP</t>
        </is>
      </c>
      <c r="C100" t="inlineStr">
        <is>
          <t>SPH 6000TL3 BH-UP</t>
        </is>
      </c>
      <c r="D100" t="inlineStr">
        <is>
          <t>three-phase</t>
        </is>
      </c>
      <c r="E100">
        <v>6000</v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>model_only_needs_datasheet</t>
        </is>
      </c>
      <c r="R100" t="inlineStr">
        <is>
          <t>Hybrid/storage inverter model candidate; datasheet parameters pending.</t>
        </is>
      </c>
    </row>
    <row r="101">
      <c r="A101" t="inlineStr">
        <is>
          <t>Growatt</t>
        </is>
      </c>
      <c r="B101" t="inlineStr">
        <is>
          <t>SPH TL3 BH-UP</t>
        </is>
      </c>
      <c r="C101" t="inlineStr">
        <is>
          <t>SPH 7000TL3 BH-UP</t>
        </is>
      </c>
      <c r="D101" t="inlineStr">
        <is>
          <t>three-phase</t>
        </is>
      </c>
      <c r="E101">
        <v>7000</v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>model_only_needs_datasheet</t>
        </is>
      </c>
      <c r="R101" t="inlineStr">
        <is>
          <t>Hybrid/storage inverter model candidate; datasheet parameters pending.</t>
        </is>
      </c>
    </row>
    <row r="102">
      <c r="A102" t="inlineStr">
        <is>
          <t>Growatt</t>
        </is>
      </c>
      <c r="B102" t="inlineStr">
        <is>
          <t>SPH TL3 BH-UP</t>
        </is>
      </c>
      <c r="C102" t="inlineStr">
        <is>
          <t>SPH 8000TL3 BH-UP</t>
        </is>
      </c>
      <c r="D102" t="inlineStr">
        <is>
          <t>three-phase</t>
        </is>
      </c>
      <c r="E102">
        <v>8000</v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>model_only_needs_datasheet</t>
        </is>
      </c>
      <c r="R102" t="inlineStr">
        <is>
          <t>Hybrid/storage inverter model candidate; datasheet parameters pending.</t>
        </is>
      </c>
    </row>
    <row r="103">
      <c r="A103" t="inlineStr">
        <is>
          <t>Growatt</t>
        </is>
      </c>
      <c r="B103" t="inlineStr">
        <is>
          <t>SPH TL3 BH-UP</t>
        </is>
      </c>
      <c r="C103" t="inlineStr">
        <is>
          <t>SPH 10000TL3 BH-UP</t>
        </is>
      </c>
      <c r="D103" t="inlineStr">
        <is>
          <t>three-phase</t>
        </is>
      </c>
      <c r="E103">
        <v>10000</v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>model_only_needs_datasheet</t>
        </is>
      </c>
      <c r="R103" t="inlineStr">
        <is>
          <t>Hybrid/storage inverter model candidate; datasheet parameters pending.</t>
        </is>
      </c>
    </row>
    <row r="104">
      <c r="A104" t="inlineStr">
        <is>
          <t>Growatt</t>
        </is>
      </c>
      <c r="B104" t="inlineStr">
        <is>
          <t>MIN TL-XH</t>
        </is>
      </c>
      <c r="C104" t="inlineStr">
        <is>
          <t>MIN 2500TL-XH</t>
        </is>
      </c>
      <c r="D104" t="inlineStr">
        <is>
          <t>single-phase</t>
        </is>
      </c>
      <c r="E104">
        <v>2500</v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>model_only_needs_datasheet</t>
        </is>
      </c>
      <c r="R104" t="inlineStr">
        <is>
          <t>Battery-ready inverter model candidate; datasheet parameters pending.</t>
        </is>
      </c>
    </row>
    <row r="105">
      <c r="A105" t="inlineStr">
        <is>
          <t>Growatt</t>
        </is>
      </c>
      <c r="B105" t="inlineStr">
        <is>
          <t>MIN TL-XH</t>
        </is>
      </c>
      <c r="C105" t="inlineStr">
        <is>
          <t>MIN 3000TL-XH</t>
        </is>
      </c>
      <c r="D105" t="inlineStr">
        <is>
          <t>single-phase</t>
        </is>
      </c>
      <c r="E105">
        <v>3000</v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>model_only_needs_datasheet</t>
        </is>
      </c>
      <c r="R105" t="inlineStr">
        <is>
          <t>Battery-ready inverter model candidate; datasheet parameters pending.</t>
        </is>
      </c>
    </row>
    <row r="106">
      <c r="A106" t="inlineStr">
        <is>
          <t>Growatt</t>
        </is>
      </c>
      <c r="B106" t="inlineStr">
        <is>
          <t>MIN TL-XH</t>
        </is>
      </c>
      <c r="C106" t="inlineStr">
        <is>
          <t>MIN 3600TL-XH</t>
        </is>
      </c>
      <c r="D106" t="inlineStr">
        <is>
          <t>single-phase</t>
        </is>
      </c>
      <c r="E106">
        <v>3600</v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>model_only_needs_datasheet</t>
        </is>
      </c>
      <c r="R106" t="inlineStr">
        <is>
          <t>Battery-ready inverter model candidate; datasheet parameters pending.</t>
        </is>
      </c>
    </row>
    <row r="107">
      <c r="A107" t="inlineStr">
        <is>
          <t>Growatt</t>
        </is>
      </c>
      <c r="B107" t="inlineStr">
        <is>
          <t>MIN TL-XH</t>
        </is>
      </c>
      <c r="C107" t="inlineStr">
        <is>
          <t>MIN 4200TL-XH</t>
        </is>
      </c>
      <c r="D107" t="inlineStr">
        <is>
          <t>single-phase</t>
        </is>
      </c>
      <c r="E107">
        <v>4200</v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>model_only_needs_datasheet</t>
        </is>
      </c>
      <c r="R107" t="inlineStr">
        <is>
          <t>Battery-ready inverter model candidate; datasheet parameters pending.</t>
        </is>
      </c>
    </row>
    <row r="108">
      <c r="A108" t="inlineStr">
        <is>
          <t>Growatt</t>
        </is>
      </c>
      <c r="B108" t="inlineStr">
        <is>
          <t>MIN TL-XH</t>
        </is>
      </c>
      <c r="C108" t="inlineStr">
        <is>
          <t>MIN 4600TL-XH</t>
        </is>
      </c>
      <c r="D108" t="inlineStr">
        <is>
          <t>single-phase</t>
        </is>
      </c>
      <c r="E108">
        <v>4600</v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>model_only_needs_datasheet</t>
        </is>
      </c>
      <c r="R108" t="inlineStr">
        <is>
          <t>Battery-ready inverter model candidate; datasheet parameters pending.</t>
        </is>
      </c>
    </row>
    <row r="109">
      <c r="A109" t="inlineStr">
        <is>
          <t>Growatt</t>
        </is>
      </c>
      <c r="B109" t="inlineStr">
        <is>
          <t>MIN TL-XH</t>
        </is>
      </c>
      <c r="C109" t="inlineStr">
        <is>
          <t>MIN 5000TL-XH</t>
        </is>
      </c>
      <c r="D109" t="inlineStr">
        <is>
          <t>single-phase</t>
        </is>
      </c>
      <c r="E109">
        <v>5000</v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>model_only_needs_datasheet</t>
        </is>
      </c>
      <c r="R109" t="inlineStr">
        <is>
          <t>Battery-ready inverter model candidate; datasheet parameters pending.</t>
        </is>
      </c>
    </row>
    <row r="110">
      <c r="A110" t="inlineStr">
        <is>
          <t>Growatt</t>
        </is>
      </c>
      <c r="B110" t="inlineStr">
        <is>
          <t>MIN TL-XH</t>
        </is>
      </c>
      <c r="C110" t="inlineStr">
        <is>
          <t>MIN 6000TL-XH</t>
        </is>
      </c>
      <c r="D110" t="inlineStr">
        <is>
          <t>single-phase</t>
        </is>
      </c>
      <c r="E110">
        <v>6000</v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>model_only_needs_datasheet</t>
        </is>
      </c>
      <c r="R110" t="inlineStr">
        <is>
          <t>Battery-ready inverter model candidate; datasheet parameters pending.</t>
        </is>
      </c>
    </row>
    <row r="111">
      <c r="A111" t="inlineStr">
        <is>
          <t>Growatt</t>
        </is>
      </c>
      <c r="B111" t="inlineStr">
        <is>
          <t>MOD TL3-XH BP</t>
        </is>
      </c>
      <c r="C111" t="inlineStr">
        <is>
          <t>MOD 3000TL3-XH BP</t>
        </is>
      </c>
      <c r="D111" t="inlineStr">
        <is>
          <t>three-phase</t>
        </is>
      </c>
      <c r="E111">
        <v>3000</v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>model_only_needs_datasheet</t>
        </is>
      </c>
      <c r="R111" t="inlineStr">
        <is>
          <t>Battery-ready inverter model candidate; datasheet parameters pending.</t>
        </is>
      </c>
    </row>
    <row r="112">
      <c r="A112" t="inlineStr">
        <is>
          <t>Growatt</t>
        </is>
      </c>
      <c r="B112" t="inlineStr">
        <is>
          <t>MOD TL3-XH BP</t>
        </is>
      </c>
      <c r="C112" t="inlineStr">
        <is>
          <t>MOD 4000TL3-XH BP</t>
        </is>
      </c>
      <c r="D112" t="inlineStr">
        <is>
          <t>three-phase</t>
        </is>
      </c>
      <c r="E112">
        <v>4000</v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>model_only_needs_datasheet</t>
        </is>
      </c>
      <c r="R112" t="inlineStr">
        <is>
          <t>Battery-ready inverter model candidate; datasheet parameters pending.</t>
        </is>
      </c>
    </row>
    <row r="113">
      <c r="A113" t="inlineStr">
        <is>
          <t>Growatt</t>
        </is>
      </c>
      <c r="B113" t="inlineStr">
        <is>
          <t>MOD TL3-XH BP</t>
        </is>
      </c>
      <c r="C113" t="inlineStr">
        <is>
          <t>MOD 5000TL3-XH BP</t>
        </is>
      </c>
      <c r="D113" t="inlineStr">
        <is>
          <t>three-phase</t>
        </is>
      </c>
      <c r="E113">
        <v>5000</v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>model_only_needs_datasheet</t>
        </is>
      </c>
      <c r="R113" t="inlineStr">
        <is>
          <t>Battery-ready inverter model candidate; datasheet parameters pending.</t>
        </is>
      </c>
    </row>
    <row r="114">
      <c r="A114" t="inlineStr">
        <is>
          <t>Growatt</t>
        </is>
      </c>
      <c r="B114" t="inlineStr">
        <is>
          <t>MOD TL3-XH BP</t>
        </is>
      </c>
      <c r="C114" t="inlineStr">
        <is>
          <t>MOD 6000TL3-XH BP</t>
        </is>
      </c>
      <c r="D114" t="inlineStr">
        <is>
          <t>three-phase</t>
        </is>
      </c>
      <c r="E114">
        <v>6000</v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>model_only_needs_datasheet</t>
        </is>
      </c>
      <c r="R114" t="inlineStr">
        <is>
          <t>Battery-ready inverter model candidate; datasheet parameters pending.</t>
        </is>
      </c>
    </row>
    <row r="115">
      <c r="A115" t="inlineStr">
        <is>
          <t>Growatt</t>
        </is>
      </c>
      <c r="B115" t="inlineStr">
        <is>
          <t>MOD TL3-XH BP</t>
        </is>
      </c>
      <c r="C115" t="inlineStr">
        <is>
          <t>MOD 7000TL3-XH BP</t>
        </is>
      </c>
      <c r="D115" t="inlineStr">
        <is>
          <t>three-phase</t>
        </is>
      </c>
      <c r="E115">
        <v>7000</v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>model_only_needs_datasheet</t>
        </is>
      </c>
      <c r="R115" t="inlineStr">
        <is>
          <t>Battery-ready inverter model candidate; datasheet parameters pending.</t>
        </is>
      </c>
    </row>
    <row r="116">
      <c r="A116" t="inlineStr">
        <is>
          <t>Growatt</t>
        </is>
      </c>
      <c r="B116" t="inlineStr">
        <is>
          <t>MOD TL3-XH BP</t>
        </is>
      </c>
      <c r="C116" t="inlineStr">
        <is>
          <t>MOD 8000TL3-XH BP</t>
        </is>
      </c>
      <c r="D116" t="inlineStr">
        <is>
          <t>three-phase</t>
        </is>
      </c>
      <c r="E116">
        <v>8000</v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>model_only_needs_datasheet</t>
        </is>
      </c>
      <c r="R116" t="inlineStr">
        <is>
          <t>Battery-ready inverter model candidate; datasheet parameters pending.</t>
        </is>
      </c>
    </row>
    <row r="117">
      <c r="A117" t="inlineStr">
        <is>
          <t>Growatt</t>
        </is>
      </c>
      <c r="B117" t="inlineStr">
        <is>
          <t>MOD TL3-XH BP</t>
        </is>
      </c>
      <c r="C117" t="inlineStr">
        <is>
          <t>MOD 9000TL3-XH BP</t>
        </is>
      </c>
      <c r="D117" t="inlineStr">
        <is>
          <t>three-phase</t>
        </is>
      </c>
      <c r="E117">
        <v>9000</v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>model_only_needs_datasheet</t>
        </is>
      </c>
      <c r="R117" t="inlineStr">
        <is>
          <t>Battery-ready inverter model candidate; datasheet parameters pending.</t>
        </is>
      </c>
    </row>
    <row r="118">
      <c r="A118" t="inlineStr">
        <is>
          <t>Growatt</t>
        </is>
      </c>
      <c r="B118" t="inlineStr">
        <is>
          <t>MOD TL3-XH BP</t>
        </is>
      </c>
      <c r="C118" t="inlineStr">
        <is>
          <t>MOD 10KTL3-XH BP</t>
        </is>
      </c>
      <c r="D118" t="inlineStr">
        <is>
          <t>three-phase</t>
        </is>
      </c>
      <c r="E118">
        <v>10000</v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>model_only_needs_datasheet</t>
        </is>
      </c>
      <c r="R118" t="inlineStr">
        <is>
          <t>Battery-ready inverter model candidate; datasheet parameters pending.</t>
        </is>
      </c>
    </row>
    <row r="119">
      <c r="A119" t="inlineStr">
        <is>
          <t>Growatt</t>
        </is>
      </c>
      <c r="B119" t="inlineStr">
        <is>
          <t>MOD TL3-XH BP</t>
        </is>
      </c>
      <c r="C119" t="inlineStr">
        <is>
          <t>MOD 11KTL3-XH BP</t>
        </is>
      </c>
      <c r="D119" t="inlineStr">
        <is>
          <t>three-phase</t>
        </is>
      </c>
      <c r="E119">
        <v>11000</v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>model_only_needs_datasheet</t>
        </is>
      </c>
      <c r="R119" t="inlineStr">
        <is>
          <t>Battery-ready inverter model candidate; datasheet parameters pending.</t>
        </is>
      </c>
    </row>
    <row r="120">
      <c r="A120" t="inlineStr">
        <is>
          <t>Growatt</t>
        </is>
      </c>
      <c r="B120" t="inlineStr">
        <is>
          <t>MOD TL3-XH BP</t>
        </is>
      </c>
      <c r="C120" t="inlineStr">
        <is>
          <t>MOD 12KTL3-XH BP</t>
        </is>
      </c>
      <c r="D120" t="inlineStr">
        <is>
          <t>three-phase</t>
        </is>
      </c>
      <c r="E120">
        <v>12000</v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>model_only_needs_datasheet</t>
        </is>
      </c>
      <c r="R120" t="inlineStr">
        <is>
          <t>Battery-ready inverter model candidate; datasheet parameters pending.</t>
        </is>
      </c>
    </row>
    <row r="121">
      <c r="A121" t="inlineStr">
        <is>
          <t>Growatt</t>
        </is>
      </c>
      <c r="B121" t="inlineStr">
        <is>
          <t>MOD TL3-XH BP</t>
        </is>
      </c>
      <c r="C121" t="inlineStr">
        <is>
          <t>MOD 13KTL3-XH BP</t>
        </is>
      </c>
      <c r="D121" t="inlineStr">
        <is>
          <t>three-phase</t>
        </is>
      </c>
      <c r="E121">
        <v>13000</v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>model_only_needs_datasheet</t>
        </is>
      </c>
      <c r="R121" t="inlineStr">
        <is>
          <t>Battery-ready inverter model candidate; datasheet parameters pending.</t>
        </is>
      </c>
    </row>
    <row r="122">
      <c r="A122" t="inlineStr">
        <is>
          <t>Growatt</t>
        </is>
      </c>
      <c r="B122" t="inlineStr">
        <is>
          <t>MOD TL3-XH BP</t>
        </is>
      </c>
      <c r="C122" t="inlineStr">
        <is>
          <t>MOD 15KTL3-XH BP</t>
        </is>
      </c>
      <c r="D122" t="inlineStr">
        <is>
          <t>three-phase</t>
        </is>
      </c>
      <c r="E122">
        <v>15000</v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>model_only_needs_datasheet</t>
        </is>
      </c>
      <c r="R122" t="inlineStr">
        <is>
          <t>Battery-ready inverter model candidate; datasheet parameters pending.</t>
        </is>
      </c>
    </row>
    <row r="123">
      <c r="A123" t="inlineStr">
        <is>
          <t>Growatt</t>
        </is>
      </c>
      <c r="B123" t="inlineStr">
        <is>
          <t>WIT TL3-A-LV</t>
        </is>
      </c>
      <c r="C123" t="inlineStr">
        <is>
          <t>WIT 50KTL3-A-LV</t>
        </is>
      </c>
      <c r="D123" t="inlineStr">
        <is>
          <t>three-phase</t>
        </is>
      </c>
      <c r="E123">
        <v>50000</v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>model_only_needs_datasheet</t>
        </is>
      </c>
      <c r="R123" t="inlineStr">
        <is>
          <t>Commercial hybrid/storage inverter model candidate; datasheet parameters pending.</t>
        </is>
      </c>
    </row>
    <row r="124">
      <c r="A124" t="inlineStr">
        <is>
          <t>Growatt</t>
        </is>
      </c>
      <c r="B124" t="inlineStr">
        <is>
          <t>WIT TL3-A-LV</t>
        </is>
      </c>
      <c r="C124" t="inlineStr">
        <is>
          <t>WIT 63KTL3-A-LV</t>
        </is>
      </c>
      <c r="D124" t="inlineStr">
        <is>
          <t>three-phase</t>
        </is>
      </c>
      <c r="E124">
        <v>63000</v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>model_only_needs_datasheet</t>
        </is>
      </c>
      <c r="R124" t="inlineStr">
        <is>
          <t>Commercial hybrid/storage inverter model candidate; datasheet parameters pending.</t>
        </is>
      </c>
    </row>
    <row r="125">
      <c r="A125" t="inlineStr">
        <is>
          <t>Growatt</t>
        </is>
      </c>
      <c r="B125" t="inlineStr">
        <is>
          <t>WIT TL3-A-LV</t>
        </is>
      </c>
      <c r="C125" t="inlineStr">
        <is>
          <t>WIT 75KTL3-A-LV</t>
        </is>
      </c>
      <c r="D125" t="inlineStr">
        <is>
          <t>three-phase</t>
        </is>
      </c>
      <c r="E125">
        <v>75000</v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>model_only_needs_datasheet</t>
        </is>
      </c>
      <c r="R125" t="inlineStr">
        <is>
          <t>Commercial hybrid/storage inverter model candidate; datasheet parameters pending.</t>
        </is>
      </c>
    </row>
    <row r="126">
      <c r="A126" t="inlineStr">
        <is>
          <t>Growatt</t>
        </is>
      </c>
      <c r="B126" t="inlineStr">
        <is>
          <t>WIT TL3-A-LV</t>
        </is>
      </c>
      <c r="C126" t="inlineStr">
        <is>
          <t>WIT 100KTL3-A-LV</t>
        </is>
      </c>
      <c r="D126" t="inlineStr">
        <is>
          <t>three-phase</t>
        </is>
      </c>
      <c r="E126">
        <v>100000</v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>model_only_needs_datasheet</t>
        </is>
      </c>
      <c r="R126" t="inlineStr">
        <is>
          <t>Commercial hybrid/storage inverter model candidate; datasheet parameters pending.</t>
        </is>
      </c>
    </row>
    <row r="127">
      <c r="A127" t="inlineStr">
        <is>
          <t>MUST</t>
        </is>
      </c>
      <c r="B127" t="inlineStr">
        <is>
          <t>PV1800 VHM</t>
        </is>
      </c>
      <c r="C127" t="inlineStr">
        <is>
          <t>PV1800 VHM-2KW-24V</t>
        </is>
      </c>
      <c r="D127" t="inlineStr">
        <is>
          <t>single-phase</t>
        </is>
      </c>
      <c r="E127">
        <v>2000</v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>
        <v>24</v>
      </c>
      <c r="P127" t="inlineStr">
        <is>
          <t/>
        </is>
      </c>
      <c r="Q127" t="inlineStr">
        <is>
          <t>model_only_needs_datasheet</t>
        </is>
      </c>
      <c r="R127" t="inlineStr">
        <is>
          <t>Hybrid inverter model candidate; datasheet parameters pending.</t>
        </is>
      </c>
    </row>
    <row r="128">
      <c r="A128" t="inlineStr">
        <is>
          <t>MUST</t>
        </is>
      </c>
      <c r="B128" t="inlineStr">
        <is>
          <t>PV1800 VHM</t>
        </is>
      </c>
      <c r="C128" t="inlineStr">
        <is>
          <t>PV1800 VHM-3KW-24V</t>
        </is>
      </c>
      <c r="D128" t="inlineStr">
        <is>
          <t>single-phase</t>
        </is>
      </c>
      <c r="E128">
        <v>3000</v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>
        <v>24</v>
      </c>
      <c r="P128" t="inlineStr">
        <is>
          <t/>
        </is>
      </c>
      <c r="Q128" t="inlineStr">
        <is>
          <t>model_only_needs_datasheet</t>
        </is>
      </c>
      <c r="R128" t="inlineStr">
        <is>
          <t>Hybrid inverter model candidate; datasheet parameters pending.</t>
        </is>
      </c>
    </row>
    <row r="129">
      <c r="A129" t="inlineStr">
        <is>
          <t>MUST</t>
        </is>
      </c>
      <c r="B129" t="inlineStr">
        <is>
          <t>PV1800 VHM</t>
        </is>
      </c>
      <c r="C129" t="inlineStr">
        <is>
          <t>PV1800 VHM-4KW-48V</t>
        </is>
      </c>
      <c r="D129" t="inlineStr">
        <is>
          <t>single-phase</t>
        </is>
      </c>
      <c r="E129">
        <v>4000</v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>
        <v>48</v>
      </c>
      <c r="P129" t="inlineStr">
        <is>
          <t/>
        </is>
      </c>
      <c r="Q129" t="inlineStr">
        <is>
          <t>model_only_needs_datasheet</t>
        </is>
      </c>
      <c r="R129" t="inlineStr">
        <is>
          <t>Hybrid inverter model candidate; datasheet parameters pending.</t>
        </is>
      </c>
    </row>
    <row r="130">
      <c r="A130" t="inlineStr">
        <is>
          <t>MUST</t>
        </is>
      </c>
      <c r="B130" t="inlineStr">
        <is>
          <t>PV1800 VHM</t>
        </is>
      </c>
      <c r="C130" t="inlineStr">
        <is>
          <t>PV1800 VHM-5KW-48V</t>
        </is>
      </c>
      <c r="D130" t="inlineStr">
        <is>
          <t>single-phase</t>
        </is>
      </c>
      <c r="E130">
        <v>5000</v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>
        <v>48</v>
      </c>
      <c r="P130" t="inlineStr">
        <is>
          <t/>
        </is>
      </c>
      <c r="Q130" t="inlineStr">
        <is>
          <t>model_only_needs_datasheet</t>
        </is>
      </c>
      <c r="R130" t="inlineStr">
        <is>
          <t>Hybrid inverter model candidate; datasheet parameters pending.</t>
        </is>
      </c>
    </row>
    <row r="131">
      <c r="A131" t="inlineStr">
        <is>
          <t>MUST</t>
        </is>
      </c>
      <c r="B131" t="inlineStr">
        <is>
          <t>PV1800 PRO</t>
        </is>
      </c>
      <c r="C131" t="inlineStr">
        <is>
          <t>PV1800 PRO-3KW-24V</t>
        </is>
      </c>
      <c r="D131" t="inlineStr">
        <is>
          <t>single-phase</t>
        </is>
      </c>
      <c r="E131">
        <v>3000</v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>
        <v>24</v>
      </c>
      <c r="P131" t="inlineStr">
        <is>
          <t/>
        </is>
      </c>
      <c r="Q131" t="inlineStr">
        <is>
          <t>model_only_needs_datasheet</t>
        </is>
      </c>
      <c r="R131" t="inlineStr">
        <is>
          <t>Hybrid inverter model candidate; datasheet parameters pending.</t>
        </is>
      </c>
    </row>
    <row r="132">
      <c r="A132" t="inlineStr">
        <is>
          <t>MUST</t>
        </is>
      </c>
      <c r="B132" t="inlineStr">
        <is>
          <t>PV1800 PRO</t>
        </is>
      </c>
      <c r="C132" t="inlineStr">
        <is>
          <t>PV1800 PRO-5.2KW-48V</t>
        </is>
      </c>
      <c r="D132" t="inlineStr">
        <is>
          <t>single-phase</t>
        </is>
      </c>
      <c r="E132">
        <v>5200</v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>
        <v>48</v>
      </c>
      <c r="P132" t="inlineStr">
        <is>
          <t/>
        </is>
      </c>
      <c r="Q132" t="inlineStr">
        <is>
          <t>model_only_needs_datasheet</t>
        </is>
      </c>
      <c r="R132" t="inlineStr">
        <is>
          <t>Hybrid inverter model candidate; datasheet parameters pending.</t>
        </is>
      </c>
    </row>
    <row r="133">
      <c r="A133" t="inlineStr">
        <is>
          <t>MUST</t>
        </is>
      </c>
      <c r="B133" t="inlineStr">
        <is>
          <t>PV1800 PRO</t>
        </is>
      </c>
      <c r="C133" t="inlineStr">
        <is>
          <t>PV1800 PRO-6.2KW-48V</t>
        </is>
      </c>
      <c r="D133" t="inlineStr">
        <is>
          <t>single-phase</t>
        </is>
      </c>
      <c r="E133">
        <v>6200</v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>
        <v>48</v>
      </c>
      <c r="P133" t="inlineStr">
        <is>
          <t/>
        </is>
      </c>
      <c r="Q133" t="inlineStr">
        <is>
          <t>model_only_needs_datasheet</t>
        </is>
      </c>
      <c r="R133" t="inlineStr">
        <is>
          <t>Hybrid inverter model candidate; datasheet parameters pending.</t>
        </is>
      </c>
    </row>
    <row r="134">
      <c r="A134" t="inlineStr">
        <is>
          <t>MUST</t>
        </is>
      </c>
      <c r="B134" t="inlineStr">
        <is>
          <t>PV18 VPM</t>
        </is>
      </c>
      <c r="C134" t="inlineStr">
        <is>
          <t>PV18-3024 VPM</t>
        </is>
      </c>
      <c r="D134" t="inlineStr">
        <is>
          <t>single-phase</t>
        </is>
      </c>
      <c r="E134">
        <v>3000</v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>
        <v>24</v>
      </c>
      <c r="P134" t="inlineStr">
        <is>
          <t/>
        </is>
      </c>
      <c r="Q134" t="inlineStr">
        <is>
          <t>model_only_needs_datasheet</t>
        </is>
      </c>
      <c r="R134" t="inlineStr">
        <is>
          <t>Hybrid inverter model candidate; datasheet parameters pending.</t>
        </is>
      </c>
    </row>
    <row r="135">
      <c r="A135" t="inlineStr">
        <is>
          <t>MUST</t>
        </is>
      </c>
      <c r="B135" t="inlineStr">
        <is>
          <t>PV18 VPM</t>
        </is>
      </c>
      <c r="C135" t="inlineStr">
        <is>
          <t>PV18-5048 VPM</t>
        </is>
      </c>
      <c r="D135" t="inlineStr">
        <is>
          <t>single-phase</t>
        </is>
      </c>
      <c r="E135">
        <v>5000</v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>
        <v>48</v>
      </c>
      <c r="P135" t="inlineStr">
        <is>
          <t/>
        </is>
      </c>
      <c r="Q135" t="inlineStr">
        <is>
          <t>model_only_needs_datasheet</t>
        </is>
      </c>
      <c r="R135" t="inlineStr">
        <is>
          <t>Hybrid inverter model candidate; datasheet parameters pending.</t>
        </is>
      </c>
    </row>
    <row r="136">
      <c r="A136" t="inlineStr">
        <is>
          <t>MUST</t>
        </is>
      </c>
      <c r="B136" t="inlineStr">
        <is>
          <t>PV18 VPM</t>
        </is>
      </c>
      <c r="C136" t="inlineStr">
        <is>
          <t>PV18-5548 VPM</t>
        </is>
      </c>
      <c r="D136" t="inlineStr">
        <is>
          <t>single-phase</t>
        </is>
      </c>
      <c r="E136">
        <v>5500</v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>
        <v>48</v>
      </c>
      <c r="P136" t="inlineStr">
        <is>
          <t/>
        </is>
      </c>
      <c r="Q136" t="inlineStr">
        <is>
          <t>model_only_needs_datasheet</t>
        </is>
      </c>
      <c r="R136" t="inlineStr">
        <is>
          <t>Hybrid inverter model candidate; datasheet parameters pending.</t>
        </is>
      </c>
    </row>
    <row r="137">
      <c r="A137" t="inlineStr">
        <is>
          <t>MUST</t>
        </is>
      </c>
      <c r="B137" t="inlineStr">
        <is>
          <t>PV18 VPM</t>
        </is>
      </c>
      <c r="C137" t="inlineStr">
        <is>
          <t>PV18-6048 VPM</t>
        </is>
      </c>
      <c r="D137" t="inlineStr">
        <is>
          <t>single-phase</t>
        </is>
      </c>
      <c r="E137">
        <v>6000</v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>
        <v>48</v>
      </c>
      <c r="P137" t="inlineStr">
        <is>
          <t/>
        </is>
      </c>
      <c r="Q137" t="inlineStr">
        <is>
          <t>model_only_needs_datasheet</t>
        </is>
      </c>
      <c r="R137" t="inlineStr">
        <is>
          <t>Hybrid inverter model candidate; datasheet parameters pending.</t>
        </is>
      </c>
    </row>
    <row r="138">
      <c r="A138" t="inlineStr">
        <is>
          <t>MUST</t>
        </is>
      </c>
      <c r="B138" t="inlineStr">
        <is>
          <t>PV18 VHM</t>
        </is>
      </c>
      <c r="C138" t="inlineStr">
        <is>
          <t>PV18-3024 VHM</t>
        </is>
      </c>
      <c r="D138" t="inlineStr">
        <is>
          <t>single-phase</t>
        </is>
      </c>
      <c r="E138">
        <v>3000</v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>
        <v>24</v>
      </c>
      <c r="P138" t="inlineStr">
        <is>
          <t/>
        </is>
      </c>
      <c r="Q138" t="inlineStr">
        <is>
          <t>model_only_needs_datasheet</t>
        </is>
      </c>
      <c r="R138" t="inlineStr">
        <is>
          <t>Hybrid inverter model candidate; datasheet parameters pending.</t>
        </is>
      </c>
    </row>
    <row r="139">
      <c r="A139" t="inlineStr">
        <is>
          <t>MUST</t>
        </is>
      </c>
      <c r="B139" t="inlineStr">
        <is>
          <t>PV18 VHM</t>
        </is>
      </c>
      <c r="C139" t="inlineStr">
        <is>
          <t>PV18-5048 VHM</t>
        </is>
      </c>
      <c r="D139" t="inlineStr">
        <is>
          <t>single-phase</t>
        </is>
      </c>
      <c r="E139">
        <v>5000</v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>
        <v>48</v>
      </c>
      <c r="P139" t="inlineStr">
        <is>
          <t/>
        </is>
      </c>
      <c r="Q139" t="inlineStr">
        <is>
          <t>model_only_needs_datasheet</t>
        </is>
      </c>
      <c r="R139" t="inlineStr">
        <is>
          <t>Hybrid inverter model candidate; datasheet parameters pending.</t>
        </is>
      </c>
    </row>
    <row r="140">
      <c r="A140" t="inlineStr">
        <is>
          <t>MUST</t>
        </is>
      </c>
      <c r="B140" t="inlineStr">
        <is>
          <t>PV18 VHM</t>
        </is>
      </c>
      <c r="C140" t="inlineStr">
        <is>
          <t>PV18-5548 VHM</t>
        </is>
      </c>
      <c r="D140" t="inlineStr">
        <is>
          <t>single-phase</t>
        </is>
      </c>
      <c r="E140">
        <v>5500</v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>
        <v>48</v>
      </c>
      <c r="P140" t="inlineStr">
        <is>
          <t/>
        </is>
      </c>
      <c r="Q140" t="inlineStr">
        <is>
          <t>model_only_needs_datasheet</t>
        </is>
      </c>
      <c r="R140" t="inlineStr">
        <is>
          <t>Hybrid inverter model candidate; datasheet parameters pending.</t>
        </is>
      </c>
    </row>
    <row r="141">
      <c r="A141" t="inlineStr">
        <is>
          <t>MUST</t>
        </is>
      </c>
      <c r="B141" t="inlineStr">
        <is>
          <t>PV19 VPM</t>
        </is>
      </c>
      <c r="C141" t="inlineStr">
        <is>
          <t>PV19-3024 VPM</t>
        </is>
      </c>
      <c r="D141" t="inlineStr">
        <is>
          <t>single-phase</t>
        </is>
      </c>
      <c r="E141">
        <v>3000</v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>
        <v>24</v>
      </c>
      <c r="P141" t="inlineStr">
        <is>
          <t/>
        </is>
      </c>
      <c r="Q141" t="inlineStr">
        <is>
          <t>model_only_needs_datasheet</t>
        </is>
      </c>
      <c r="R141" t="inlineStr">
        <is>
          <t>Hybrid inverter model candidate; datasheet parameters pending.</t>
        </is>
      </c>
    </row>
    <row r="142">
      <c r="A142" t="inlineStr">
        <is>
          <t>MUST</t>
        </is>
      </c>
      <c r="B142" t="inlineStr">
        <is>
          <t>PV19 VPM</t>
        </is>
      </c>
      <c r="C142" t="inlineStr">
        <is>
          <t>PV19-5048 VPM</t>
        </is>
      </c>
      <c r="D142" t="inlineStr">
        <is>
          <t>single-phase</t>
        </is>
      </c>
      <c r="E142">
        <v>5000</v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>
        <v>48</v>
      </c>
      <c r="P142" t="inlineStr">
        <is>
          <t/>
        </is>
      </c>
      <c r="Q142" t="inlineStr">
        <is>
          <t>model_only_needs_datasheet</t>
        </is>
      </c>
      <c r="R142" t="inlineStr">
        <is>
          <t>Hybrid inverter model candidate; datasheet parameters pending.</t>
        </is>
      </c>
    </row>
    <row r="143">
      <c r="A143" t="inlineStr">
        <is>
          <t>MUST</t>
        </is>
      </c>
      <c r="B143" t="inlineStr">
        <is>
          <t>PV19 VPM</t>
        </is>
      </c>
      <c r="C143" t="inlineStr">
        <is>
          <t>PV19-6048 VPM</t>
        </is>
      </c>
      <c r="D143" t="inlineStr">
        <is>
          <t>single-phase</t>
        </is>
      </c>
      <c r="E143">
        <v>6000</v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>
        <v>48</v>
      </c>
      <c r="P143" t="inlineStr">
        <is>
          <t/>
        </is>
      </c>
      <c r="Q143" t="inlineStr">
        <is>
          <t>model_only_needs_datasheet</t>
        </is>
      </c>
      <c r="R143" t="inlineStr">
        <is>
          <t>Hybrid inverter model candidate; datasheet parameters pending.</t>
        </is>
      </c>
    </row>
    <row r="144">
      <c r="A144" t="inlineStr">
        <is>
          <t>MUST</t>
        </is>
      </c>
      <c r="B144" t="inlineStr">
        <is>
          <t>PH1800 PLUS</t>
        </is>
      </c>
      <c r="C144" t="inlineStr">
        <is>
          <t>PH1800 PLUS-5.5KW-48V</t>
        </is>
      </c>
      <c r="D144" t="inlineStr">
        <is>
          <t>single-phase</t>
        </is>
      </c>
      <c r="E144">
        <v>5500</v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>
        <v>48</v>
      </c>
      <c r="P144" t="inlineStr">
        <is>
          <t/>
        </is>
      </c>
      <c r="Q144" t="inlineStr">
        <is>
          <t>model_only_needs_datasheet</t>
        </is>
      </c>
      <c r="R144" t="inlineStr">
        <is>
          <t>Hybrid inverter model candidate; datasheet parameters pending.</t>
        </is>
      </c>
    </row>
    <row r="145">
      <c r="A145" t="inlineStr">
        <is>
          <t>PowMr</t>
        </is>
      </c>
      <c r="B145" t="inlineStr">
        <is>
          <t>POW-HVM</t>
        </is>
      </c>
      <c r="C145" t="inlineStr">
        <is>
          <t>POW-HVM3.0KW-24V</t>
        </is>
      </c>
      <c r="D145" t="inlineStr">
        <is>
          <t>single-phase</t>
        </is>
      </c>
      <c r="E145">
        <v>3000</v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>
        <v>24</v>
      </c>
      <c r="P145" t="inlineStr">
        <is>
          <t/>
        </is>
      </c>
      <c r="Q145" t="inlineStr">
        <is>
          <t>model_only_needs_datasheet</t>
        </is>
      </c>
      <c r="R145" t="inlineStr">
        <is>
          <t>Model found in PowMr official catalog/manual references; datasheet parameters pending.</t>
        </is>
      </c>
    </row>
    <row r="146">
      <c r="A146" t="inlineStr">
        <is>
          <t>PowMr</t>
        </is>
      </c>
      <c r="B146" t="inlineStr">
        <is>
          <t>POW-HVM</t>
        </is>
      </c>
      <c r="C146" t="inlineStr">
        <is>
          <t>POW-HVM5.5K-48V</t>
        </is>
      </c>
      <c r="D146" t="inlineStr">
        <is>
          <t>single-phase</t>
        </is>
      </c>
      <c r="E146">
        <v>5500</v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>
        <v>48</v>
      </c>
      <c r="P146" t="inlineStr">
        <is>
          <t/>
        </is>
      </c>
      <c r="Q146" t="inlineStr">
        <is>
          <t>model_only_needs_datasheet</t>
        </is>
      </c>
      <c r="R146" t="inlineStr">
        <is>
          <t>Model found in PowMr official catalog/manual references; datasheet parameters pending.</t>
        </is>
      </c>
    </row>
    <row r="147">
      <c r="A147" t="inlineStr">
        <is>
          <t>PowMr</t>
        </is>
      </c>
      <c r="B147" t="inlineStr">
        <is>
          <t>POW-HVM</t>
        </is>
      </c>
      <c r="C147" t="inlineStr">
        <is>
          <t>POW-HVM5.5K-48V-LIP</t>
        </is>
      </c>
      <c r="D147" t="inlineStr">
        <is>
          <t>single-phase</t>
        </is>
      </c>
      <c r="E147">
        <v>5500</v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>
        <v>48</v>
      </c>
      <c r="P147" t="inlineStr">
        <is>
          <t/>
        </is>
      </c>
      <c r="Q147" t="inlineStr">
        <is>
          <t>model_only_needs_datasheet</t>
        </is>
      </c>
      <c r="R147" t="inlineStr">
        <is>
          <t>Model found in PowMr official catalog/manual references; datasheet parameters pending.</t>
        </is>
      </c>
    </row>
    <row r="148">
      <c r="A148" t="inlineStr">
        <is>
          <t>PowMr</t>
        </is>
      </c>
      <c r="B148" t="inlineStr">
        <is>
          <t>POW-HVM</t>
        </is>
      </c>
      <c r="C148" t="inlineStr">
        <is>
          <t>POW-HVM5.5M</t>
        </is>
      </c>
      <c r="D148" t="inlineStr">
        <is>
          <t>single-phase</t>
        </is>
      </c>
      <c r="E148">
        <v>5500</v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>model_only_needs_datasheet</t>
        </is>
      </c>
      <c r="R148" t="inlineStr">
        <is>
          <t>Model found in PowMr official catalog/manual references; datasheet parameters pending.</t>
        </is>
      </c>
    </row>
    <row r="149">
      <c r="A149" t="inlineStr">
        <is>
          <t>PowMr</t>
        </is>
      </c>
      <c r="B149" t="inlineStr">
        <is>
          <t>POW-HPM</t>
        </is>
      </c>
      <c r="C149" t="inlineStr">
        <is>
          <t>POW-HPM5.6KW</t>
        </is>
      </c>
      <c r="D149" t="inlineStr">
        <is>
          <t>single-phase</t>
        </is>
      </c>
      <c r="E149">
        <v>5600</v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>model_only_needs_datasheet</t>
        </is>
      </c>
      <c r="R149" t="inlineStr">
        <is>
          <t>Model found in PowMr official catalog/manual references; datasheet parameters pending.</t>
        </is>
      </c>
    </row>
    <row r="150">
      <c r="A150" t="inlineStr">
        <is>
          <t>PowMr</t>
        </is>
      </c>
      <c r="B150" t="inlineStr">
        <is>
          <t>POW-SunSmart</t>
        </is>
      </c>
      <c r="C150" t="inlineStr">
        <is>
          <t>POW-SUNSMART-5.5KW-48V</t>
        </is>
      </c>
      <c r="D150" t="inlineStr">
        <is>
          <t>single-phase</t>
        </is>
      </c>
      <c r="E150">
        <v>5500</v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>
        <v>48</v>
      </c>
      <c r="P150" t="inlineStr">
        <is>
          <t/>
        </is>
      </c>
      <c r="Q150" t="inlineStr">
        <is>
          <t>model_only_needs_datasheet</t>
        </is>
      </c>
      <c r="R150" t="inlineStr">
        <is>
          <t>Model found in PowMr official catalog/manual references; datasheet parameters pending.</t>
        </is>
      </c>
    </row>
    <row r="151">
      <c r="A151" t="inlineStr">
        <is>
          <t>PowMr</t>
        </is>
      </c>
      <c r="B151" t="inlineStr">
        <is>
          <t>POW-SunSmart</t>
        </is>
      </c>
      <c r="C151" t="inlineStr">
        <is>
          <t>POW-SUNSMART-5.6KW-48V</t>
        </is>
      </c>
      <c r="D151" t="inlineStr">
        <is>
          <t>single-phase</t>
        </is>
      </c>
      <c r="E151">
        <v>5600</v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>
        <v>48</v>
      </c>
      <c r="P151" t="inlineStr">
        <is>
          <t/>
        </is>
      </c>
      <c r="Q151" t="inlineStr">
        <is>
          <t>model_only_needs_datasheet</t>
        </is>
      </c>
      <c r="R151" t="inlineStr">
        <is>
          <t>Model found in PowMr official catalog/manual references; datasheet parameters pending.</t>
        </is>
      </c>
    </row>
    <row r="152">
      <c r="A152" t="inlineStr">
        <is>
          <t>PowMr</t>
        </is>
      </c>
      <c r="B152" t="inlineStr">
        <is>
          <t>POW-VM</t>
        </is>
      </c>
      <c r="C152" t="inlineStr">
        <is>
          <t>POW-VM5K-III</t>
        </is>
      </c>
      <c r="D152" t="inlineStr">
        <is>
          <t>single-phase</t>
        </is>
      </c>
      <c r="E152">
        <v>5000</v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>model_only_needs_datasheet</t>
        </is>
      </c>
      <c r="R152" t="inlineStr">
        <is>
          <t>Model found in PowMr official catalog/manual references; datasheet parameters pending.</t>
        </is>
      </c>
    </row>
    <row r="153">
      <c r="A153" t="inlineStr">
        <is>
          <t>PowMr</t>
        </is>
      </c>
      <c r="B153" t="inlineStr">
        <is>
          <t>POW-MAX</t>
        </is>
      </c>
      <c r="C153" t="inlineStr">
        <is>
          <t>POW-MAX-8KW</t>
        </is>
      </c>
      <c r="D153" t="inlineStr">
        <is>
          <t>single-phase</t>
        </is>
      </c>
      <c r="E153">
        <v>8000</v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>model_only_needs_datasheet</t>
        </is>
      </c>
      <c r="R153" t="inlineStr">
        <is>
          <t>Model found in PowMr official catalog/manual references; datasheet parameters pending.</t>
        </is>
      </c>
    </row>
    <row r="154">
      <c r="A154" t="inlineStr">
        <is>
          <t>PowMr</t>
        </is>
      </c>
      <c r="B154" t="inlineStr">
        <is>
          <t>POW-SunSmart LVM</t>
        </is>
      </c>
      <c r="C154" t="inlineStr">
        <is>
          <t>POW-SunSmart LVM12K</t>
        </is>
      </c>
      <c r="D154" t="inlineStr">
        <is>
          <t>split-phase</t>
        </is>
      </c>
      <c r="E154">
        <v>12000</v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>
        <v>48</v>
      </c>
      <c r="P154" t="inlineStr">
        <is>
          <t/>
        </is>
      </c>
      <c r="Q154" t="inlineStr">
        <is>
          <t>model_only_needs_datasheet</t>
        </is>
      </c>
      <c r="R154" t="inlineStr">
        <is>
          <t>Model found in PowMr official 110V hybrid inverter catalog; datasheet parameters pending.</t>
        </is>
      </c>
    </row>
    <row r="155">
      <c r="A155" t="inlineStr">
        <is>
          <t>PowMr</t>
        </is>
      </c>
      <c r="B155" t="inlineStr">
        <is>
          <t>SOLXPOW X3</t>
        </is>
      </c>
      <c r="C155" t="inlineStr">
        <is>
          <t>SOLXPOW X3-12K</t>
        </is>
      </c>
      <c r="D155" t="inlineStr">
        <is>
          <t>three-phase</t>
        </is>
      </c>
      <c r="E155">
        <v>12000</v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>model_only_needs_datasheet</t>
        </is>
      </c>
      <c r="R155" t="inlineStr">
        <is>
          <t>Model found in PowMr official 220V hybrid inverter catalog; datasheet parameters pending.</t>
        </is>
      </c>
    </row>
    <row r="156">
      <c r="A156" t="inlineStr">
        <is>
          <t>PowMr</t>
        </is>
      </c>
      <c r="B156" t="inlineStr">
        <is>
          <t>SOLXPOW X3</t>
        </is>
      </c>
      <c r="C156" t="inlineStr">
        <is>
          <t>SOLXPOW X3-20K</t>
        </is>
      </c>
      <c r="D156" t="inlineStr">
        <is>
          <t>three-phase</t>
        </is>
      </c>
      <c r="E156">
        <v>20000</v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>model_only_needs_datasheet</t>
        </is>
      </c>
      <c r="R156" t="inlineStr">
        <is>
          <t>Model found in PowMr official 220V hybrid inverter catalog; datasheet parameters pending.</t>
        </is>
      </c>
    </row>
    <row r="157">
      <c r="A157" t="inlineStr">
        <is>
          <t>PowMr</t>
        </is>
      </c>
      <c r="B157" t="inlineStr">
        <is>
          <t>SOLXPOW X4</t>
        </is>
      </c>
      <c r="C157" t="inlineStr">
        <is>
          <t>SOLXPOW X4-50K</t>
        </is>
      </c>
      <c r="D157" t="inlineStr">
        <is>
          <t>three-phase</t>
        </is>
      </c>
      <c r="E157">
        <v>50000</v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>model_only_needs_datasheet</t>
        </is>
      </c>
      <c r="R157" t="inlineStr">
        <is>
          <t>Model found in PowMr official 220V hybrid inverter catalog; datasheet parameters pending.</t>
        </is>
      </c>
    </row>
    <row r="158">
      <c r="A158" t="inlineStr">
        <is>
          <t>Solis</t>
        </is>
      </c>
      <c r="B158" t="inlineStr">
        <is>
          <t>RHI 1P</t>
        </is>
      </c>
      <c r="C158" t="inlineStr">
        <is>
          <t>RHI-3K-48ES-5G</t>
        </is>
      </c>
      <c r="D158" t="inlineStr">
        <is>
          <t>single-phase</t>
        </is>
      </c>
      <c r="E158">
        <v>3000</v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>
        <v>48</v>
      </c>
      <c r="P158" t="inlineStr">
        <is>
          <t/>
        </is>
      </c>
      <c r="Q158" t="inlineStr">
        <is>
          <t>model_only_needs_datasheet</t>
        </is>
      </c>
      <c r="R158" t="inlineStr">
        <is>
          <t>Hybrid inverter model candidate; datasheet parameters pending.</t>
        </is>
      </c>
    </row>
    <row r="159">
      <c r="A159" t="inlineStr">
        <is>
          <t>Solis</t>
        </is>
      </c>
      <c r="B159" t="inlineStr">
        <is>
          <t>RHI 1P</t>
        </is>
      </c>
      <c r="C159" t="inlineStr">
        <is>
          <t>RHI-3.6K-48ES-5G</t>
        </is>
      </c>
      <c r="D159" t="inlineStr">
        <is>
          <t>single-phase</t>
        </is>
      </c>
      <c r="E159">
        <v>3600</v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>
        <v>48</v>
      </c>
      <c r="P159" t="inlineStr">
        <is>
          <t/>
        </is>
      </c>
      <c r="Q159" t="inlineStr">
        <is>
          <t>model_only_needs_datasheet</t>
        </is>
      </c>
      <c r="R159" t="inlineStr">
        <is>
          <t>Hybrid inverter model candidate; datasheet parameters pending.</t>
        </is>
      </c>
    </row>
    <row r="160">
      <c r="A160" t="inlineStr">
        <is>
          <t>Solis</t>
        </is>
      </c>
      <c r="B160" t="inlineStr">
        <is>
          <t>RHI 1P</t>
        </is>
      </c>
      <c r="C160" t="inlineStr">
        <is>
          <t>RHI-4.6K-48ES-5G</t>
        </is>
      </c>
      <c r="D160" t="inlineStr">
        <is>
          <t>single-phase</t>
        </is>
      </c>
      <c r="E160">
        <v>4600</v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>
        <v>48</v>
      </c>
      <c r="P160" t="inlineStr">
        <is>
          <t/>
        </is>
      </c>
      <c r="Q160" t="inlineStr">
        <is>
          <t>model_only_needs_datasheet</t>
        </is>
      </c>
      <c r="R160" t="inlineStr">
        <is>
          <t>Hybrid inverter model candidate; datasheet parameters pending.</t>
        </is>
      </c>
    </row>
    <row r="161">
      <c r="A161" t="inlineStr">
        <is>
          <t>Solis</t>
        </is>
      </c>
      <c r="B161" t="inlineStr">
        <is>
          <t>RHI 1P</t>
        </is>
      </c>
      <c r="C161" t="inlineStr">
        <is>
          <t>RHI-5K-48ES-5G</t>
        </is>
      </c>
      <c r="D161" t="inlineStr">
        <is>
          <t>single-phase</t>
        </is>
      </c>
      <c r="E161">
        <v>5000</v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>
        <v>48</v>
      </c>
      <c r="P161" t="inlineStr">
        <is>
          <t/>
        </is>
      </c>
      <c r="Q161" t="inlineStr">
        <is>
          <t>model_only_needs_datasheet</t>
        </is>
      </c>
      <c r="R161" t="inlineStr">
        <is>
          <t>Hybrid inverter model candidate; datasheet parameters pending.</t>
        </is>
      </c>
    </row>
    <row r="162">
      <c r="A162" t="inlineStr">
        <is>
          <t>Solis</t>
        </is>
      </c>
      <c r="B162" t="inlineStr">
        <is>
          <t>RHI 1P</t>
        </is>
      </c>
      <c r="C162" t="inlineStr">
        <is>
          <t>RHI-6K-48ES-5G</t>
        </is>
      </c>
      <c r="D162" t="inlineStr">
        <is>
          <t>single-phase</t>
        </is>
      </c>
      <c r="E162">
        <v>6000</v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>
        <v>48</v>
      </c>
      <c r="P162" t="inlineStr">
        <is>
          <t/>
        </is>
      </c>
      <c r="Q162" t="inlineStr">
        <is>
          <t>model_only_needs_datasheet</t>
        </is>
      </c>
      <c r="R162" t="inlineStr">
        <is>
          <t>Hybrid inverter model candidate; datasheet parameters pending.</t>
        </is>
      </c>
    </row>
    <row r="163">
      <c r="A163" t="inlineStr">
        <is>
          <t>Solis</t>
        </is>
      </c>
      <c r="B163" t="inlineStr">
        <is>
          <t>S5 EH1P</t>
        </is>
      </c>
      <c r="C163" t="inlineStr">
        <is>
          <t>S5-EH1P3K-L</t>
        </is>
      </c>
      <c r="D163" t="inlineStr">
        <is>
          <t>single-phase</t>
        </is>
      </c>
      <c r="E163">
        <v>3000</v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>model_only_needs_datasheet</t>
        </is>
      </c>
      <c r="R163" t="inlineStr">
        <is>
          <t>Hybrid inverter model candidate; datasheet parameters pending.</t>
        </is>
      </c>
    </row>
    <row r="164">
      <c r="A164" t="inlineStr">
        <is>
          <t>Solis</t>
        </is>
      </c>
      <c r="B164" t="inlineStr">
        <is>
          <t>S5 EH1P</t>
        </is>
      </c>
      <c r="C164" t="inlineStr">
        <is>
          <t>S5-EH1P3.6K-L</t>
        </is>
      </c>
      <c r="D164" t="inlineStr">
        <is>
          <t>single-phase</t>
        </is>
      </c>
      <c r="E164">
        <v>3600</v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>model_only_needs_datasheet</t>
        </is>
      </c>
      <c r="R164" t="inlineStr">
        <is>
          <t>Hybrid inverter model candidate; datasheet parameters pending.</t>
        </is>
      </c>
    </row>
    <row r="165">
      <c r="A165" t="inlineStr">
        <is>
          <t>Solis</t>
        </is>
      </c>
      <c r="B165" t="inlineStr">
        <is>
          <t>S5 EH1P</t>
        </is>
      </c>
      <c r="C165" t="inlineStr">
        <is>
          <t>S5-EH1P4.6K-L</t>
        </is>
      </c>
      <c r="D165" t="inlineStr">
        <is>
          <t>single-phase</t>
        </is>
      </c>
      <c r="E165">
        <v>4600</v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>model_only_needs_datasheet</t>
        </is>
      </c>
      <c r="R165" t="inlineStr">
        <is>
          <t>Hybrid inverter model candidate; datasheet parameters pending.</t>
        </is>
      </c>
    </row>
    <row r="166">
      <c r="A166" t="inlineStr">
        <is>
          <t>Solis</t>
        </is>
      </c>
      <c r="B166" t="inlineStr">
        <is>
          <t>S5 EH1P</t>
        </is>
      </c>
      <c r="C166" t="inlineStr">
        <is>
          <t>S5-EH1P5K-L</t>
        </is>
      </c>
      <c r="D166" t="inlineStr">
        <is>
          <t>single-phase</t>
        </is>
      </c>
      <c r="E166">
        <v>5000</v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>model_only_needs_datasheet</t>
        </is>
      </c>
      <c r="R166" t="inlineStr">
        <is>
          <t>Hybrid inverter model candidate; datasheet parameters pending.</t>
        </is>
      </c>
    </row>
    <row r="167">
      <c r="A167" t="inlineStr">
        <is>
          <t>Solis</t>
        </is>
      </c>
      <c r="B167" t="inlineStr">
        <is>
          <t>S5 EH1P</t>
        </is>
      </c>
      <c r="C167" t="inlineStr">
        <is>
          <t>S5-EH1P6K-L</t>
        </is>
      </c>
      <c r="D167" t="inlineStr">
        <is>
          <t>single-phase</t>
        </is>
      </c>
      <c r="E167">
        <v>6000</v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>model_only_needs_datasheet</t>
        </is>
      </c>
      <c r="R167" t="inlineStr">
        <is>
          <t>Hybrid inverter model candidate; datasheet parameters pending.</t>
        </is>
      </c>
    </row>
    <row r="168">
      <c r="A168" t="inlineStr">
        <is>
          <t>Solis</t>
        </is>
      </c>
      <c r="B168" t="inlineStr">
        <is>
          <t>S6 EH1P</t>
        </is>
      </c>
      <c r="C168" t="inlineStr">
        <is>
          <t>S6-EH1P3K-L-EU</t>
        </is>
      </c>
      <c r="D168" t="inlineStr">
        <is>
          <t>single-phase</t>
        </is>
      </c>
      <c r="E168">
        <v>3000</v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>model_only_needs_datasheet</t>
        </is>
      </c>
      <c r="R168" t="inlineStr">
        <is>
          <t>Hybrid inverter model candidate; datasheet parameters pending.</t>
        </is>
      </c>
    </row>
    <row r="169">
      <c r="A169" t="inlineStr">
        <is>
          <t>Solis</t>
        </is>
      </c>
      <c r="B169" t="inlineStr">
        <is>
          <t>S6 EH1P</t>
        </is>
      </c>
      <c r="C169" t="inlineStr">
        <is>
          <t>S6-EH1P3.6K-L-EU</t>
        </is>
      </c>
      <c r="D169" t="inlineStr">
        <is>
          <t>single-phase</t>
        </is>
      </c>
      <c r="E169">
        <v>3600</v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>model_only_needs_datasheet</t>
        </is>
      </c>
      <c r="R169" t="inlineStr">
        <is>
          <t>Hybrid inverter model candidate; datasheet parameters pending.</t>
        </is>
      </c>
    </row>
    <row r="170">
      <c r="A170" t="inlineStr">
        <is>
          <t>Solis</t>
        </is>
      </c>
      <c r="B170" t="inlineStr">
        <is>
          <t>S6 EH1P</t>
        </is>
      </c>
      <c r="C170" t="inlineStr">
        <is>
          <t>S6-EH1P4.6K-L-EU</t>
        </is>
      </c>
      <c r="D170" t="inlineStr">
        <is>
          <t>single-phase</t>
        </is>
      </c>
      <c r="E170">
        <v>4600</v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>model_only_needs_datasheet</t>
        </is>
      </c>
      <c r="R170" t="inlineStr">
        <is>
          <t>Hybrid inverter model candidate; datasheet parameters pending.</t>
        </is>
      </c>
    </row>
    <row r="171">
      <c r="A171" t="inlineStr">
        <is>
          <t>Solis</t>
        </is>
      </c>
      <c r="B171" t="inlineStr">
        <is>
          <t>S6 EH1P</t>
        </is>
      </c>
      <c r="C171" t="inlineStr">
        <is>
          <t>S6-EH1P5K-L-EU</t>
        </is>
      </c>
      <c r="D171" t="inlineStr">
        <is>
          <t>single-phase</t>
        </is>
      </c>
      <c r="E171">
        <v>5000</v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>model_only_needs_datasheet</t>
        </is>
      </c>
      <c r="R171" t="inlineStr">
        <is>
          <t>Hybrid inverter model candidate; datasheet parameters pending.</t>
        </is>
      </c>
    </row>
    <row r="172">
      <c r="A172" t="inlineStr">
        <is>
          <t>Solis</t>
        </is>
      </c>
      <c r="B172" t="inlineStr">
        <is>
          <t>S6 EH1P</t>
        </is>
      </c>
      <c r="C172" t="inlineStr">
        <is>
          <t>S6-EH1P6K-L-EU</t>
        </is>
      </c>
      <c r="D172" t="inlineStr">
        <is>
          <t>single-phase</t>
        </is>
      </c>
      <c r="E172">
        <v>6000</v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>model_only_needs_datasheet</t>
        </is>
      </c>
      <c r="R172" t="inlineStr">
        <is>
          <t>Hybrid inverter model candidate; datasheet parameters pending.</t>
        </is>
      </c>
    </row>
    <row r="173">
      <c r="A173" t="inlineStr">
        <is>
          <t>Solis</t>
        </is>
      </c>
      <c r="B173" t="inlineStr">
        <is>
          <t>S6 EH1P</t>
        </is>
      </c>
      <c r="C173" t="inlineStr">
        <is>
          <t>S6-EH1P8K-L-PRO</t>
        </is>
      </c>
      <c r="D173" t="inlineStr">
        <is>
          <t>single-phase</t>
        </is>
      </c>
      <c r="E173">
        <v>8000</v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>model_only_needs_datasheet</t>
        </is>
      </c>
      <c r="R173" t="inlineStr">
        <is>
          <t>Hybrid inverter model candidate; datasheet parameters pending.</t>
        </is>
      </c>
    </row>
    <row r="174">
      <c r="A174" t="inlineStr">
        <is>
          <t>Solis</t>
        </is>
      </c>
      <c r="B174" t="inlineStr">
        <is>
          <t>S6 EH1P</t>
        </is>
      </c>
      <c r="C174" t="inlineStr">
        <is>
          <t>S6-EH1P10K-L-PRO</t>
        </is>
      </c>
      <c r="D174" t="inlineStr">
        <is>
          <t>single-phase</t>
        </is>
      </c>
      <c r="E174">
        <v>10000</v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>model_only_needs_datasheet</t>
        </is>
      </c>
      <c r="R174" t="inlineStr">
        <is>
          <t>Hybrid inverter model candidate; datasheet parameters pending.</t>
        </is>
      </c>
    </row>
    <row r="175">
      <c r="A175" t="inlineStr">
        <is>
          <t>Solis</t>
        </is>
      </c>
      <c r="B175" t="inlineStr">
        <is>
          <t>S6 EH3P</t>
        </is>
      </c>
      <c r="C175" t="inlineStr">
        <is>
          <t>S6-EH3P5K-H-EU</t>
        </is>
      </c>
      <c r="D175" t="inlineStr">
        <is>
          <t>three-phase</t>
        </is>
      </c>
      <c r="E175">
        <v>5000</v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>model_only_needs_datasheet</t>
        </is>
      </c>
      <c r="R175" t="inlineStr">
        <is>
          <t>Hybrid inverter model candidate; datasheet parameters pending.</t>
        </is>
      </c>
    </row>
    <row r="176">
      <c r="A176" t="inlineStr">
        <is>
          <t>Solis</t>
        </is>
      </c>
      <c r="B176" t="inlineStr">
        <is>
          <t>S6 EH3P</t>
        </is>
      </c>
      <c r="C176" t="inlineStr">
        <is>
          <t>S6-EH3P6K-H-EU</t>
        </is>
      </c>
      <c r="D176" t="inlineStr">
        <is>
          <t>three-phase</t>
        </is>
      </c>
      <c r="E176">
        <v>6000</v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>model_only_needs_datasheet</t>
        </is>
      </c>
      <c r="R176" t="inlineStr">
        <is>
          <t>Hybrid inverter model candidate; datasheet parameters pending.</t>
        </is>
      </c>
    </row>
    <row r="177">
      <c r="A177" t="inlineStr">
        <is>
          <t>Solis</t>
        </is>
      </c>
      <c r="B177" t="inlineStr">
        <is>
          <t>S6 EH3P</t>
        </is>
      </c>
      <c r="C177" t="inlineStr">
        <is>
          <t>S6-EH3P8K-H-EU</t>
        </is>
      </c>
      <c r="D177" t="inlineStr">
        <is>
          <t>three-phase</t>
        </is>
      </c>
      <c r="E177">
        <v>8000</v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>model_only_needs_datasheet</t>
        </is>
      </c>
      <c r="R177" t="inlineStr">
        <is>
          <t>Hybrid inverter model candidate; datasheet parameters pending.</t>
        </is>
      </c>
    </row>
    <row r="178">
      <c r="A178" t="inlineStr">
        <is>
          <t>Solis</t>
        </is>
      </c>
      <c r="B178" t="inlineStr">
        <is>
          <t>S6 EH3P</t>
        </is>
      </c>
      <c r="C178" t="inlineStr">
        <is>
          <t>S6-EH3P10K-H-EU</t>
        </is>
      </c>
      <c r="D178" t="inlineStr">
        <is>
          <t>three-phase</t>
        </is>
      </c>
      <c r="E178">
        <v>10000</v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>model_only_needs_datasheet</t>
        </is>
      </c>
      <c r="R178" t="inlineStr">
        <is>
          <t>Hybrid inverter model candidate; datasheet parameters pending.</t>
        </is>
      </c>
    </row>
    <row r="179">
      <c r="A179" t="inlineStr">
        <is>
          <t>Solis</t>
        </is>
      </c>
      <c r="B179" t="inlineStr">
        <is>
          <t>S6 EH3P</t>
        </is>
      </c>
      <c r="C179" t="inlineStr">
        <is>
          <t>S6-EH3P12K-H-EU</t>
        </is>
      </c>
      <c r="D179" t="inlineStr">
        <is>
          <t>three-phase</t>
        </is>
      </c>
      <c r="E179">
        <v>12000</v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>model_only_needs_datasheet</t>
        </is>
      </c>
      <c r="R179" t="inlineStr">
        <is>
          <t>Hybrid inverter model candidate; datasheet parameters pending.</t>
        </is>
      </c>
    </row>
    <row r="180">
      <c r="A180" t="inlineStr">
        <is>
          <t>Solis</t>
        </is>
      </c>
      <c r="B180" t="inlineStr">
        <is>
          <t>S6 EH3P</t>
        </is>
      </c>
      <c r="C180" t="inlineStr">
        <is>
          <t>S6-EH3P15K-H-EU</t>
        </is>
      </c>
      <c r="D180" t="inlineStr">
        <is>
          <t>three-phase</t>
        </is>
      </c>
      <c r="E180">
        <v>15000</v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>model_only_needs_datasheet</t>
        </is>
      </c>
      <c r="R180" t="inlineStr">
        <is>
          <t>Hybrid inverter model candidate; datasheet parameters pending.</t>
        </is>
      </c>
    </row>
    <row r="181">
      <c r="A181" t="inlineStr">
        <is>
          <t>Solis</t>
        </is>
      </c>
      <c r="B181" t="inlineStr">
        <is>
          <t>S6 EH3P</t>
        </is>
      </c>
      <c r="C181" t="inlineStr">
        <is>
          <t>S6-EH3P20K-H-EU</t>
        </is>
      </c>
      <c r="D181" t="inlineStr">
        <is>
          <t>three-phase</t>
        </is>
      </c>
      <c r="E181">
        <v>20000</v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>model_only_needs_datasheet</t>
        </is>
      </c>
      <c r="R181" t="inlineStr">
        <is>
          <t>Hybrid inverter model candidate; datasheet parameters pending.</t>
        </is>
      </c>
    </row>
    <row r="182">
      <c r="A182" t="inlineStr">
        <is>
          <t>Solis</t>
        </is>
      </c>
      <c r="B182" t="inlineStr">
        <is>
          <t>S6 EH3P</t>
        </is>
      </c>
      <c r="C182" t="inlineStr">
        <is>
          <t>S6-EH3P29.9K-H</t>
        </is>
      </c>
      <c r="D182" t="inlineStr">
        <is>
          <t>three-phase</t>
        </is>
      </c>
      <c r="E182">
        <v>29900</v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>model_only_needs_datasheet</t>
        </is>
      </c>
      <c r="R182" t="inlineStr">
        <is>
          <t>Hybrid inverter model candidate; datasheet parameters pending.</t>
        </is>
      </c>
    </row>
    <row r="183">
      <c r="A183" t="inlineStr">
        <is>
          <t>Solis</t>
        </is>
      </c>
      <c r="B183" t="inlineStr">
        <is>
          <t>S6 EH3P</t>
        </is>
      </c>
      <c r="C183" t="inlineStr">
        <is>
          <t>S6-EH3P30K-H</t>
        </is>
      </c>
      <c r="D183" t="inlineStr">
        <is>
          <t>three-phase</t>
        </is>
      </c>
      <c r="E183">
        <v>30000</v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>model_only_needs_datasheet</t>
        </is>
      </c>
      <c r="R183" t="inlineStr">
        <is>
          <t>Hybrid inverter model candidate; datasheet parameters pending.</t>
        </is>
      </c>
    </row>
    <row r="184">
      <c r="A184" t="inlineStr">
        <is>
          <t>Solis</t>
        </is>
      </c>
      <c r="B184" t="inlineStr">
        <is>
          <t>S6 EH3P</t>
        </is>
      </c>
      <c r="C184" t="inlineStr">
        <is>
          <t>S6-EH3P40K-H</t>
        </is>
      </c>
      <c r="D184" t="inlineStr">
        <is>
          <t>three-phase</t>
        </is>
      </c>
      <c r="E184">
        <v>40000</v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>model_only_needs_datasheet</t>
        </is>
      </c>
      <c r="R184" t="inlineStr">
        <is>
          <t>Hybrid inverter model candidate; datasheet parameters pending.</t>
        </is>
      </c>
    </row>
    <row r="185">
      <c r="A185" t="inlineStr">
        <is>
          <t>Solis</t>
        </is>
      </c>
      <c r="B185" t="inlineStr">
        <is>
          <t>S6 EH3P</t>
        </is>
      </c>
      <c r="C185" t="inlineStr">
        <is>
          <t>S6-EH3P50K-H</t>
        </is>
      </c>
      <c r="D185" t="inlineStr">
        <is>
          <t>three-phase</t>
        </is>
      </c>
      <c r="E185">
        <v>50000</v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>model_only_needs_datasheet</t>
        </is>
      </c>
      <c r="R185" t="inlineStr">
        <is>
          <t>Hybrid inverter model candidate; datasheet parameters pending.</t>
        </is>
      </c>
    </row>
  </sheetData>
  <autoFilter ref="A1:R18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73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28" customWidth="1"/>
    <col min="3" max="3" width="24" customWidth="1"/>
    <col min="16" max="16" width="52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power_stc_w</t>
        </is>
      </c>
      <c r="E1" t="inlineStr" s="1">
        <is>
          <t>vmp_stc_v</t>
        </is>
      </c>
      <c r="F1" t="inlineStr" s="1">
        <is>
          <t>imp_stc_a</t>
        </is>
      </c>
      <c r="G1" t="inlineStr" s="1">
        <is>
          <t>voc_stc_v</t>
        </is>
      </c>
      <c r="H1" t="inlineStr" s="1">
        <is>
          <t>isc_stc_a</t>
        </is>
      </c>
      <c r="I1" t="inlineStr" s="1">
        <is>
          <t>temp_coeff_pmax_pct_c</t>
        </is>
      </c>
      <c r="J1" t="inlineStr" s="1">
        <is>
          <t>temp_coeff_voc_pct_c</t>
        </is>
      </c>
      <c r="K1" t="inlineStr" s="1">
        <is>
          <t>temp_coeff_isc_pct_c</t>
        </is>
      </c>
      <c r="L1" t="inlineStr" s="1">
        <is>
          <t>module_length_mm</t>
        </is>
      </c>
      <c r="M1" t="inlineStr" s="1">
        <is>
          <t>module_width_mm</t>
        </is>
      </c>
      <c r="N1" t="inlineStr" s="1">
        <is>
          <t>module_depth_mm</t>
        </is>
      </c>
      <c r="O1" t="inlineStr" s="1">
        <is>
          <t>data_status</t>
        </is>
      </c>
      <c r="P1" t="inlineStr" s="1">
        <is>
          <t>notes</t>
        </is>
      </c>
    </row>
    <row r="2">
      <c r="A2" t="inlineStr">
        <is>
          <t>Astronergy</t>
        </is>
      </c>
      <c r="B2" t="inlineStr">
        <is>
          <t>ASTRO N5</t>
        </is>
      </c>
      <c r="C2" t="inlineStr">
        <is>
          <t>CHSM54N-HC-430</t>
        </is>
      </c>
      <c r="D2">
        <v>430</v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>model_only_needs_datasheet</t>
        </is>
      </c>
      <c r="P2" t="inlineStr">
        <is>
          <t>Panel catalog model; datasheet parameters pending.</t>
        </is>
      </c>
    </row>
    <row r="3">
      <c r="A3" t="inlineStr">
        <is>
          <t>Astronergy</t>
        </is>
      </c>
      <c r="B3" t="inlineStr">
        <is>
          <t>ASTRO N5</t>
        </is>
      </c>
      <c r="C3" t="inlineStr">
        <is>
          <t>CHSM54N-HC-435</t>
        </is>
      </c>
      <c r="D3">
        <v>435</v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>model_only_needs_datasheet</t>
        </is>
      </c>
      <c r="P3" t="inlineStr">
        <is>
          <t>Panel catalog model; datasheet parameters pending.</t>
        </is>
      </c>
    </row>
    <row r="4">
      <c r="A4" t="inlineStr">
        <is>
          <t>Astronergy</t>
        </is>
      </c>
      <c r="B4" t="inlineStr">
        <is>
          <t>ASTRO N5</t>
        </is>
      </c>
      <c r="C4" t="inlineStr">
        <is>
          <t>CHSM54N-HC-440</t>
        </is>
      </c>
      <c r="D4">
        <v>440</v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>model_only_needs_datasheet</t>
        </is>
      </c>
      <c r="P4" t="inlineStr">
        <is>
          <t>Panel catalog model; datasheet parameters pending.</t>
        </is>
      </c>
    </row>
    <row r="5">
      <c r="A5" t="inlineStr">
        <is>
          <t>Astronergy</t>
        </is>
      </c>
      <c r="B5" t="inlineStr">
        <is>
          <t>ASTRO N7</t>
        </is>
      </c>
      <c r="C5" t="inlineStr">
        <is>
          <t>CHSM72N(DG)/F-BH-570</t>
        </is>
      </c>
      <c r="D5">
        <v>570</v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>model_only_needs_datasheet</t>
        </is>
      </c>
      <c r="P5" t="inlineStr">
        <is>
          <t>Panel catalog model; datasheet parameters pending.</t>
        </is>
      </c>
    </row>
    <row r="6">
      <c r="A6" t="inlineStr">
        <is>
          <t>Astronergy</t>
        </is>
      </c>
      <c r="B6" t="inlineStr">
        <is>
          <t>ASTRO N7</t>
        </is>
      </c>
      <c r="C6" t="inlineStr">
        <is>
          <t>CHSM72N(DG)/F-BH-575</t>
        </is>
      </c>
      <c r="D6">
        <v>575</v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>model_only_needs_datasheet</t>
        </is>
      </c>
      <c r="P6" t="inlineStr">
        <is>
          <t>Panel catalog model; datasheet parameters pending.</t>
        </is>
      </c>
    </row>
    <row r="7">
      <c r="A7" t="inlineStr">
        <is>
          <t>Astronergy</t>
        </is>
      </c>
      <c r="B7" t="inlineStr">
        <is>
          <t>ASTRO N7</t>
        </is>
      </c>
      <c r="C7" t="inlineStr">
        <is>
          <t>CHSM72N(DG)/F-BH-580</t>
        </is>
      </c>
      <c r="D7">
        <v>580</v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>model_only_needs_datasheet</t>
        </is>
      </c>
      <c r="P7" t="inlineStr">
        <is>
          <t>Panel catalog model; datasheet parameters pending.</t>
        </is>
      </c>
    </row>
    <row r="8">
      <c r="A8" t="inlineStr">
        <is>
          <t>Astronergy</t>
        </is>
      </c>
      <c r="B8" t="inlineStr">
        <is>
          <t>ASTRO N7</t>
        </is>
      </c>
      <c r="C8" t="inlineStr">
        <is>
          <t>CHSM66N(DG)/F-BH-615</t>
        </is>
      </c>
      <c r="D8">
        <v>615</v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>model_only_needs_datasheet</t>
        </is>
      </c>
      <c r="P8" t="inlineStr">
        <is>
          <t>Panel catalog model; datasheet parameters pending.</t>
        </is>
      </c>
    </row>
    <row r="9">
      <c r="A9" t="inlineStr">
        <is>
          <t>Astronergy</t>
        </is>
      </c>
      <c r="B9" t="inlineStr">
        <is>
          <t>ASTRO N7</t>
        </is>
      </c>
      <c r="C9" t="inlineStr">
        <is>
          <t>CHSM66N(DG)/F-BH-620</t>
        </is>
      </c>
      <c r="D9">
        <v>620</v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>model_only_needs_datasheet</t>
        </is>
      </c>
      <c r="P9" t="inlineStr">
        <is>
          <t>Panel catalog model; datasheet parameters pending.</t>
        </is>
      </c>
    </row>
    <row r="10">
      <c r="A10" t="inlineStr">
        <is>
          <t>JA Solar</t>
        </is>
      </c>
      <c r="B10" t="inlineStr">
        <is>
          <t>DeepBlue 3.0</t>
        </is>
      </c>
      <c r="C10" t="inlineStr">
        <is>
          <t>JAM54S30-410/MR</t>
        </is>
      </c>
      <c r="D10">
        <v>410</v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>model_only_needs_datasheet</t>
        </is>
      </c>
      <c r="P10" t="inlineStr">
        <is>
          <t>Panel catalog model; datasheet parameters pending.</t>
        </is>
      </c>
    </row>
    <row r="11">
      <c r="A11" t="inlineStr">
        <is>
          <t>JA Solar</t>
        </is>
      </c>
      <c r="B11" t="inlineStr">
        <is>
          <t>DeepBlue 3.0</t>
        </is>
      </c>
      <c r="C11" t="inlineStr">
        <is>
          <t>JAM54S30-415/MR</t>
        </is>
      </c>
      <c r="D11">
        <v>415</v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>model_only_needs_datasheet</t>
        </is>
      </c>
      <c r="P11" t="inlineStr">
        <is>
          <t>Panel catalog model; datasheet parameters pending.</t>
        </is>
      </c>
    </row>
    <row r="12">
      <c r="A12" t="inlineStr">
        <is>
          <t>JA Solar</t>
        </is>
      </c>
      <c r="B12" t="inlineStr">
        <is>
          <t>DeepBlue 3.0</t>
        </is>
      </c>
      <c r="C12" t="inlineStr">
        <is>
          <t>JAM54S30-420/MR</t>
        </is>
      </c>
      <c r="D12">
        <v>420</v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>model_only_needs_datasheet</t>
        </is>
      </c>
      <c r="P12" t="inlineStr">
        <is>
          <t>Panel catalog model; datasheet parameters pending.</t>
        </is>
      </c>
    </row>
    <row r="13">
      <c r="A13" t="inlineStr">
        <is>
          <t>JA Solar</t>
        </is>
      </c>
      <c r="B13" t="inlineStr">
        <is>
          <t>DeepBlue 3.0 Pro</t>
        </is>
      </c>
      <c r="C13" t="inlineStr">
        <is>
          <t>JAM54D40-440/LB</t>
        </is>
      </c>
      <c r="D13">
        <v>440</v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>model_only_needs_datasheet</t>
        </is>
      </c>
      <c r="P13" t="inlineStr">
        <is>
          <t>Panel catalog model; datasheet parameters pending.</t>
        </is>
      </c>
    </row>
    <row r="14">
      <c r="A14" t="inlineStr">
        <is>
          <t>JA Solar</t>
        </is>
      </c>
      <c r="B14" t="inlineStr">
        <is>
          <t>DeepBlue 3.0 Pro</t>
        </is>
      </c>
      <c r="C14" t="inlineStr">
        <is>
          <t>JAM54D40-445/LB</t>
        </is>
      </c>
      <c r="D14">
        <v>445</v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>model_only_needs_datasheet</t>
        </is>
      </c>
      <c r="P14" t="inlineStr">
        <is>
          <t>Panel catalog model; datasheet parameters pending.</t>
        </is>
      </c>
    </row>
    <row r="15">
      <c r="A15" t="inlineStr">
        <is>
          <t>JA Solar</t>
        </is>
      </c>
      <c r="B15" t="inlineStr">
        <is>
          <t>DeepBlue 4.0 Pro</t>
        </is>
      </c>
      <c r="C15" t="inlineStr">
        <is>
          <t>JAM72D42-575/LB</t>
        </is>
      </c>
      <c r="D15">
        <v>575</v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>model_only_needs_datasheet</t>
        </is>
      </c>
      <c r="P15" t="inlineStr">
        <is>
          <t>Panel catalog model; datasheet parameters pending.</t>
        </is>
      </c>
    </row>
    <row r="16">
      <c r="A16" t="inlineStr">
        <is>
          <t>JA Solar</t>
        </is>
      </c>
      <c r="B16" t="inlineStr">
        <is>
          <t>DeepBlue 4.0 Pro</t>
        </is>
      </c>
      <c r="C16" t="inlineStr">
        <is>
          <t>JAM72D42-580/LB</t>
        </is>
      </c>
      <c r="D16">
        <v>580</v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>model_only_needs_datasheet</t>
        </is>
      </c>
      <c r="P16" t="inlineStr">
        <is>
          <t>Panel catalog model; datasheet parameters pending.</t>
        </is>
      </c>
    </row>
    <row r="17">
      <c r="A17" t="inlineStr">
        <is>
          <t>JA Solar</t>
        </is>
      </c>
      <c r="B17" t="inlineStr">
        <is>
          <t>DeepBlue 4.0 Pro</t>
        </is>
      </c>
      <c r="C17" t="inlineStr">
        <is>
          <t>JAM72D42-585/LB</t>
        </is>
      </c>
      <c r="D17">
        <v>585</v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>model_only_needs_datasheet</t>
        </is>
      </c>
      <c r="P17" t="inlineStr">
        <is>
          <t>Panel catalog model; datasheet parameters pending.</t>
        </is>
      </c>
    </row>
    <row r="18">
      <c r="A18" t="inlineStr">
        <is>
          <t>JA Solar</t>
        </is>
      </c>
      <c r="B18" t="inlineStr">
        <is>
          <t>DeepBlue 4.0 Pro</t>
        </is>
      </c>
      <c r="C18" t="inlineStr">
        <is>
          <t>JAM72D42-590/LB</t>
        </is>
      </c>
      <c r="D18">
        <v>590</v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>model_only_needs_datasheet</t>
        </is>
      </c>
      <c r="P18" t="inlineStr">
        <is>
          <t>Panel catalog model; datasheet parameters pending.</t>
        </is>
      </c>
    </row>
    <row r="19">
      <c r="A19" t="inlineStr">
        <is>
          <t>JA Solar</t>
        </is>
      </c>
      <c r="B19" t="inlineStr">
        <is>
          <t>DeepBlue 4.0 Pro</t>
        </is>
      </c>
      <c r="C19" t="inlineStr">
        <is>
          <t>JAM72D42-595/LB</t>
        </is>
      </c>
      <c r="D19">
        <v>595</v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>model_only_needs_datasheet</t>
        </is>
      </c>
      <c r="P19" t="inlineStr">
        <is>
          <t>Panel catalog model; datasheet parameters pending.</t>
        </is>
      </c>
    </row>
    <row r="20">
      <c r="A20" t="inlineStr">
        <is>
          <t>Jinko</t>
        </is>
      </c>
      <c r="B20" t="inlineStr">
        <is>
          <t>Tiger Neo N-type 54HL4R</t>
        </is>
      </c>
      <c r="C20" t="inlineStr">
        <is>
          <t>JKM420N-54HL4R-B</t>
        </is>
      </c>
      <c r="D20">
        <v>420</v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>model_only_needs_datasheet</t>
        </is>
      </c>
      <c r="P20" t="inlineStr">
        <is>
          <t>Panel catalog model; datasheet parameters pending.</t>
        </is>
      </c>
    </row>
    <row r="21">
      <c r="A21" t="inlineStr">
        <is>
          <t>Jinko</t>
        </is>
      </c>
      <c r="B21" t="inlineStr">
        <is>
          <t>Tiger Neo N-type 54HL4R</t>
        </is>
      </c>
      <c r="C21" t="inlineStr">
        <is>
          <t>JKM425N-54HL4R-B</t>
        </is>
      </c>
      <c r="D21">
        <v>425</v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>model_only_needs_datasheet</t>
        </is>
      </c>
      <c r="P21" t="inlineStr">
        <is>
          <t>Panel catalog model; datasheet parameters pending.</t>
        </is>
      </c>
    </row>
    <row r="22">
      <c r="A22" t="inlineStr">
        <is>
          <t>Jinko</t>
        </is>
      </c>
      <c r="B22" t="inlineStr">
        <is>
          <t>Tiger Neo N-type 54HL4R</t>
        </is>
      </c>
      <c r="C22" t="inlineStr">
        <is>
          <t>JKM430N-54HL4R-B</t>
        </is>
      </c>
      <c r="D22">
        <v>430</v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>model_only_needs_datasheet</t>
        </is>
      </c>
      <c r="P22" t="inlineStr">
        <is>
          <t>Panel catalog model; datasheet parameters pending.</t>
        </is>
      </c>
    </row>
    <row r="23">
      <c r="A23" t="inlineStr">
        <is>
          <t>Jinko</t>
        </is>
      </c>
      <c r="B23" t="inlineStr">
        <is>
          <t>Tiger Neo N-type 60HL4</t>
        </is>
      </c>
      <c r="C23" t="inlineStr">
        <is>
          <t>JKM465N-60HL4-V</t>
        </is>
      </c>
      <c r="D23">
        <v>465</v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>model_only_needs_datasheet</t>
        </is>
      </c>
      <c r="P23" t="inlineStr">
        <is>
          <t>Panel catalog model; datasheet parameters pending.</t>
        </is>
      </c>
    </row>
    <row r="24">
      <c r="A24" t="inlineStr">
        <is>
          <t>Jinko</t>
        </is>
      </c>
      <c r="B24" t="inlineStr">
        <is>
          <t>Tiger Neo N-type 60HL4</t>
        </is>
      </c>
      <c r="C24" t="inlineStr">
        <is>
          <t>JKM470N-60HL4-V</t>
        </is>
      </c>
      <c r="D24">
        <v>470</v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>model_only_needs_datasheet</t>
        </is>
      </c>
      <c r="P24" t="inlineStr">
        <is>
          <t>Panel catalog model; datasheet parameters pending.</t>
        </is>
      </c>
    </row>
    <row r="25">
      <c r="A25" t="inlineStr">
        <is>
          <t>Jinko</t>
        </is>
      </c>
      <c r="B25" t="inlineStr">
        <is>
          <t>Tiger Neo N-type 60HL4</t>
        </is>
      </c>
      <c r="C25" t="inlineStr">
        <is>
          <t>JKM475N-60HL4-V</t>
        </is>
      </c>
      <c r="D25">
        <v>475</v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>model_only_needs_datasheet</t>
        </is>
      </c>
      <c r="P25" t="inlineStr">
        <is>
          <t>Panel catalog model; datasheet parameters pending.</t>
        </is>
      </c>
    </row>
    <row r="26">
      <c r="A26" t="inlineStr">
        <is>
          <t>Jinko</t>
        </is>
      </c>
      <c r="B26" t="inlineStr">
        <is>
          <t>Tiger Neo N-type 66HL4M</t>
        </is>
      </c>
      <c r="C26" t="inlineStr">
        <is>
          <t>JKM610N-66HL4M-V</t>
        </is>
      </c>
      <c r="D26">
        <v>610</v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>model_only_needs_datasheet</t>
        </is>
      </c>
      <c r="P26" t="inlineStr">
        <is>
          <t>Panel catalog model; datasheet parameters pending.</t>
        </is>
      </c>
    </row>
    <row r="27">
      <c r="A27" t="inlineStr">
        <is>
          <t>Jinko</t>
        </is>
      </c>
      <c r="B27" t="inlineStr">
        <is>
          <t>Tiger Neo N-type 66HL4M</t>
        </is>
      </c>
      <c r="C27" t="inlineStr">
        <is>
          <t>JKM615N-66HL4M-V</t>
        </is>
      </c>
      <c r="D27">
        <v>615</v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>model_only_needs_datasheet</t>
        </is>
      </c>
      <c r="P27" t="inlineStr">
        <is>
          <t>Panel catalog model; datasheet parameters pending.</t>
        </is>
      </c>
    </row>
    <row r="28">
      <c r="A28" t="inlineStr">
        <is>
          <t>Jinko</t>
        </is>
      </c>
      <c r="B28" t="inlineStr">
        <is>
          <t>Tiger Neo N-type 66HL4M</t>
        </is>
      </c>
      <c r="C28" t="inlineStr">
        <is>
          <t>JKM620N-66HL4M-V</t>
        </is>
      </c>
      <c r="D28">
        <v>620</v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>model_only_needs_datasheet</t>
        </is>
      </c>
      <c r="P28" t="inlineStr">
        <is>
          <t>Panel catalog model; datasheet parameters pending.</t>
        </is>
      </c>
    </row>
    <row r="29">
      <c r="A29" t="inlineStr">
        <is>
          <t>Jinko</t>
        </is>
      </c>
      <c r="B29" t="inlineStr">
        <is>
          <t>Tiger Neo N-type 72HL4</t>
        </is>
      </c>
      <c r="C29" t="inlineStr">
        <is>
          <t>JKM565N-72HL4-V</t>
        </is>
      </c>
      <c r="D29">
        <v>565</v>
      </c>
      <c r="E29">
        <v>43.28</v>
      </c>
      <c r="F29">
        <v>13.06</v>
      </c>
      <c r="G29">
        <v>51.7</v>
      </c>
      <c r="H29">
        <v>13.86</v>
      </c>
      <c r="I29">
        <v>-0.29</v>
      </c>
      <c r="J29">
        <v>-0.25</v>
      </c>
      <c r="K29">
        <v>0.045</v>
      </c>
      <c r="L29">
        <v>2278</v>
      </c>
      <c r="M29">
        <v>1134</v>
      </c>
      <c r="N29">
        <v>30</v>
      </c>
      <c r="O29" t="inlineStr">
        <is>
          <t>seed_verify_datasheet</t>
        </is>
      </c>
      <c r="P29" t="inlineStr">
        <is>
          <t>Starter record for string sizing tests.</t>
        </is>
      </c>
    </row>
    <row r="30">
      <c r="A30" t="inlineStr">
        <is>
          <t>Jinko</t>
        </is>
      </c>
      <c r="B30" t="inlineStr">
        <is>
          <t>Tiger Neo N-type 72HL4</t>
        </is>
      </c>
      <c r="C30" t="inlineStr">
        <is>
          <t>JKM570N-72HL4-V</t>
        </is>
      </c>
      <c r="D30">
        <v>570</v>
      </c>
      <c r="E30">
        <v>43.52</v>
      </c>
      <c r="F30">
        <v>13.1</v>
      </c>
      <c r="G30">
        <v>51.89</v>
      </c>
      <c r="H30">
        <v>13.89</v>
      </c>
      <c r="I30">
        <v>-0.29</v>
      </c>
      <c r="J30">
        <v>-0.25</v>
      </c>
      <c r="K30">
        <v>0.045</v>
      </c>
      <c r="L30">
        <v>2278</v>
      </c>
      <c r="M30">
        <v>1134</v>
      </c>
      <c r="N30">
        <v>30</v>
      </c>
      <c r="O30" t="inlineStr">
        <is>
          <t>seed_verify_datasheet</t>
        </is>
      </c>
      <c r="P30" t="inlineStr">
        <is>
          <t>Starter record for string sizing tests.</t>
        </is>
      </c>
    </row>
    <row r="31">
      <c r="A31" t="inlineStr">
        <is>
          <t>Jinko</t>
        </is>
      </c>
      <c r="B31" t="inlineStr">
        <is>
          <t>Tiger Neo N-type 72HL4</t>
        </is>
      </c>
      <c r="C31" t="inlineStr">
        <is>
          <t>JKM575N-72HL4-V</t>
        </is>
      </c>
      <c r="D31">
        <v>575</v>
      </c>
      <c r="E31">
        <v>43.76</v>
      </c>
      <c r="F31">
        <v>13.14</v>
      </c>
      <c r="G31">
        <v>52.08</v>
      </c>
      <c r="H31">
        <v>13.92</v>
      </c>
      <c r="I31">
        <v>-0.29</v>
      </c>
      <c r="J31">
        <v>-0.25</v>
      </c>
      <c r="K31">
        <v>0.045</v>
      </c>
      <c r="L31">
        <v>2278</v>
      </c>
      <c r="M31">
        <v>1134</v>
      </c>
      <c r="N31">
        <v>30</v>
      </c>
      <c r="O31" t="inlineStr">
        <is>
          <t>seed_verify_datasheet</t>
        </is>
      </c>
      <c r="P31" t="inlineStr">
        <is>
          <t>Starter record for string sizing tests.</t>
        </is>
      </c>
    </row>
    <row r="32">
      <c r="A32" t="inlineStr">
        <is>
          <t>Jinko</t>
        </is>
      </c>
      <c r="B32" t="inlineStr">
        <is>
          <t>Tiger Neo N-type 72HL4</t>
        </is>
      </c>
      <c r="C32" t="inlineStr">
        <is>
          <t>JKM580N-72HL4-V</t>
        </is>
      </c>
      <c r="D32">
        <v>580</v>
      </c>
      <c r="E32">
        <v>43.99</v>
      </c>
      <c r="F32">
        <v>13.19</v>
      </c>
      <c r="G32">
        <v>52.27</v>
      </c>
      <c r="H32">
        <v>13.96</v>
      </c>
      <c r="I32">
        <v>-0.29</v>
      </c>
      <c r="J32">
        <v>-0.25</v>
      </c>
      <c r="K32">
        <v>0.045</v>
      </c>
      <c r="L32">
        <v>2278</v>
      </c>
      <c r="M32">
        <v>1134</v>
      </c>
      <c r="N32">
        <v>30</v>
      </c>
      <c r="O32" t="inlineStr">
        <is>
          <t>seed_verify_datasheet</t>
        </is>
      </c>
      <c r="P32" t="inlineStr">
        <is>
          <t>Starter record for string sizing tests.</t>
        </is>
      </c>
    </row>
    <row r="33">
      <c r="A33" t="inlineStr">
        <is>
          <t>Jinko</t>
        </is>
      </c>
      <c r="B33" t="inlineStr">
        <is>
          <t>Tiger Neo N-type 72HL4</t>
        </is>
      </c>
      <c r="C33" t="inlineStr">
        <is>
          <t>JKM585N-72HL4-V</t>
        </is>
      </c>
      <c r="D33">
        <v>585</v>
      </c>
      <c r="E33">
        <v>44.23</v>
      </c>
      <c r="F33">
        <v>13.23</v>
      </c>
      <c r="G33">
        <v>52.46</v>
      </c>
      <c r="H33">
        <v>14.0</v>
      </c>
      <c r="I33">
        <v>-0.29</v>
      </c>
      <c r="J33">
        <v>-0.25</v>
      </c>
      <c r="K33">
        <v>0.045</v>
      </c>
      <c r="L33">
        <v>2278</v>
      </c>
      <c r="M33">
        <v>1134</v>
      </c>
      <c r="N33">
        <v>30</v>
      </c>
      <c r="O33" t="inlineStr">
        <is>
          <t>seed_verify_datasheet</t>
        </is>
      </c>
      <c r="P33" t="inlineStr">
        <is>
          <t>Starter record for string sizing tests.</t>
        </is>
      </c>
    </row>
    <row r="34">
      <c r="A34" t="inlineStr">
        <is>
          <t>LONGi</t>
        </is>
      </c>
      <c r="B34" t="inlineStr">
        <is>
          <t>Hi-MO 6 Explorer</t>
        </is>
      </c>
      <c r="C34" t="inlineStr">
        <is>
          <t>LR5-54HTH-425M</t>
        </is>
      </c>
      <c r="D34">
        <v>425</v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>model_only_needs_datasheet</t>
        </is>
      </c>
      <c r="P34" t="inlineStr">
        <is>
          <t>Panel catalog model; datasheet parameters pending.</t>
        </is>
      </c>
    </row>
    <row r="35">
      <c r="A35" t="inlineStr">
        <is>
          <t>LONGi</t>
        </is>
      </c>
      <c r="B35" t="inlineStr">
        <is>
          <t>Hi-MO 6 Explorer</t>
        </is>
      </c>
      <c r="C35" t="inlineStr">
        <is>
          <t>LR5-54HTH-430M</t>
        </is>
      </c>
      <c r="D35">
        <v>430</v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>model_only_needs_datasheet</t>
        </is>
      </c>
      <c r="P35" t="inlineStr">
        <is>
          <t>Panel catalog model; datasheet parameters pending.</t>
        </is>
      </c>
    </row>
    <row r="36">
      <c r="A36" t="inlineStr">
        <is>
          <t>LONGi</t>
        </is>
      </c>
      <c r="B36" t="inlineStr">
        <is>
          <t>Hi-MO 6 Explorer</t>
        </is>
      </c>
      <c r="C36" t="inlineStr">
        <is>
          <t>LR5-54HTH-435M</t>
        </is>
      </c>
      <c r="D36">
        <v>435</v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>model_only_needs_datasheet</t>
        </is>
      </c>
      <c r="P36" t="inlineStr">
        <is>
          <t>Panel catalog model; datasheet parameters pending.</t>
        </is>
      </c>
    </row>
    <row r="37">
      <c r="A37" t="inlineStr">
        <is>
          <t>LONGi</t>
        </is>
      </c>
      <c r="B37" t="inlineStr">
        <is>
          <t>Hi-MO 7</t>
        </is>
      </c>
      <c r="C37" t="inlineStr">
        <is>
          <t>LR5-72HGD-585M</t>
        </is>
      </c>
      <c r="D37">
        <v>585</v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>model_only_needs_datasheet</t>
        </is>
      </c>
      <c r="P37" t="inlineStr">
        <is>
          <t>Panel catalog model; datasheet parameters pending.</t>
        </is>
      </c>
    </row>
    <row r="38">
      <c r="A38" t="inlineStr">
        <is>
          <t>LONGi</t>
        </is>
      </c>
      <c r="B38" t="inlineStr">
        <is>
          <t>Hi-MO 7</t>
        </is>
      </c>
      <c r="C38" t="inlineStr">
        <is>
          <t>LR5-72HGD-590M</t>
        </is>
      </c>
      <c r="D38">
        <v>590</v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>model_only_needs_datasheet</t>
        </is>
      </c>
      <c r="P38" t="inlineStr">
        <is>
          <t>Panel catalog model; datasheet parameters pending.</t>
        </is>
      </c>
    </row>
    <row r="39">
      <c r="A39" t="inlineStr">
        <is>
          <t>LONGi</t>
        </is>
      </c>
      <c r="B39" t="inlineStr">
        <is>
          <t>Hi-MO 7</t>
        </is>
      </c>
      <c r="C39" t="inlineStr">
        <is>
          <t>LR5-72HGD-595M</t>
        </is>
      </c>
      <c r="D39">
        <v>595</v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>model_only_needs_datasheet</t>
        </is>
      </c>
      <c r="P39" t="inlineStr">
        <is>
          <t>Panel catalog model; datasheet parameters pending.</t>
        </is>
      </c>
    </row>
    <row r="40">
      <c r="A40" t="inlineStr">
        <is>
          <t>LONGi</t>
        </is>
      </c>
      <c r="B40" t="inlineStr">
        <is>
          <t>Hi-MO X6</t>
        </is>
      </c>
      <c r="C40" t="inlineStr">
        <is>
          <t>LR5-54HTB-430M</t>
        </is>
      </c>
      <c r="D40">
        <v>430</v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>model_only_needs_datasheet</t>
        </is>
      </c>
      <c r="P40" t="inlineStr">
        <is>
          <t>Panel catalog model; datasheet parameters pending.</t>
        </is>
      </c>
    </row>
    <row r="41">
      <c r="A41" t="inlineStr">
        <is>
          <t>LONGi</t>
        </is>
      </c>
      <c r="B41" t="inlineStr">
        <is>
          <t>Hi-MO X6</t>
        </is>
      </c>
      <c r="C41" t="inlineStr">
        <is>
          <t>LR5-54HTB-435M</t>
        </is>
      </c>
      <c r="D41">
        <v>435</v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>model_only_needs_datasheet</t>
        </is>
      </c>
      <c r="P41" t="inlineStr">
        <is>
          <t>Panel catalog model; datasheet parameters pending.</t>
        </is>
      </c>
    </row>
    <row r="42">
      <c r="A42" t="inlineStr">
        <is>
          <t>LONGi</t>
        </is>
      </c>
      <c r="B42" t="inlineStr">
        <is>
          <t>Hi-MO 6</t>
        </is>
      </c>
      <c r="C42" t="inlineStr">
        <is>
          <t>LR5-72HTH-565M</t>
        </is>
      </c>
      <c r="D42">
        <v>565</v>
      </c>
      <c r="E42">
        <v>42.94</v>
      </c>
      <c r="F42">
        <v>13.16</v>
      </c>
      <c r="G42">
        <v>51.21</v>
      </c>
      <c r="H42">
        <v>14.01</v>
      </c>
      <c r="I42">
        <v>-0.29</v>
      </c>
      <c r="J42">
        <v>-0.23</v>
      </c>
      <c r="K42">
        <v>0.05</v>
      </c>
      <c r="L42">
        <v>2278</v>
      </c>
      <c r="M42">
        <v>1134</v>
      </c>
      <c r="N42">
        <v>35</v>
      </c>
      <c r="O42" t="inlineStr">
        <is>
          <t>seed_verify_datasheet</t>
        </is>
      </c>
      <c r="P42" t="inlineStr">
        <is>
          <t>Starter record for string sizing tests.</t>
        </is>
      </c>
    </row>
    <row r="43">
      <c r="A43" t="inlineStr">
        <is>
          <t>LONGi</t>
        </is>
      </c>
      <c r="B43" t="inlineStr">
        <is>
          <t>Hi-MO 6</t>
        </is>
      </c>
      <c r="C43" t="inlineStr">
        <is>
          <t>LR5-72HTH-570M</t>
        </is>
      </c>
      <c r="D43">
        <v>570</v>
      </c>
      <c r="E43">
        <v>43.13</v>
      </c>
      <c r="F43">
        <v>13.22</v>
      </c>
      <c r="G43">
        <v>51.4</v>
      </c>
      <c r="H43">
        <v>14.07</v>
      </c>
      <c r="I43">
        <v>-0.29</v>
      </c>
      <c r="J43">
        <v>-0.23</v>
      </c>
      <c r="K43">
        <v>0.05</v>
      </c>
      <c r="L43">
        <v>2278</v>
      </c>
      <c r="M43">
        <v>1134</v>
      </c>
      <c r="N43">
        <v>35</v>
      </c>
      <c r="O43" t="inlineStr">
        <is>
          <t>seed_verify_datasheet</t>
        </is>
      </c>
      <c r="P43" t="inlineStr">
        <is>
          <t>Starter record for string sizing tests.</t>
        </is>
      </c>
    </row>
    <row r="44">
      <c r="A44" t="inlineStr">
        <is>
          <t>LONGi</t>
        </is>
      </c>
      <c r="B44" t="inlineStr">
        <is>
          <t>Hi-MO 6</t>
        </is>
      </c>
      <c r="C44" t="inlineStr">
        <is>
          <t>LR5-72HTH-575M</t>
        </is>
      </c>
      <c r="D44">
        <v>575</v>
      </c>
      <c r="E44">
        <v>43.32</v>
      </c>
      <c r="F44">
        <v>13.28</v>
      </c>
      <c r="G44">
        <v>51.59</v>
      </c>
      <c r="H44">
        <v>14.14</v>
      </c>
      <c r="I44">
        <v>-0.29</v>
      </c>
      <c r="J44">
        <v>-0.23</v>
      </c>
      <c r="K44">
        <v>0.05</v>
      </c>
      <c r="L44">
        <v>2278</v>
      </c>
      <c r="M44">
        <v>1134</v>
      </c>
      <c r="N44">
        <v>35</v>
      </c>
      <c r="O44" t="inlineStr">
        <is>
          <t>seed_verify_datasheet</t>
        </is>
      </c>
      <c r="P44" t="inlineStr">
        <is>
          <t>Starter record for string sizing tests.</t>
        </is>
      </c>
    </row>
    <row r="45">
      <c r="A45" t="inlineStr">
        <is>
          <t>LONGi</t>
        </is>
      </c>
      <c r="B45" t="inlineStr">
        <is>
          <t>Hi-MO 6</t>
        </is>
      </c>
      <c r="C45" t="inlineStr">
        <is>
          <t>LR5-72HTH-580M</t>
        </is>
      </c>
      <c r="D45">
        <v>580</v>
      </c>
      <c r="E45">
        <v>43.51</v>
      </c>
      <c r="F45">
        <v>13.34</v>
      </c>
      <c r="G45">
        <v>51.78</v>
      </c>
      <c r="H45">
        <v>14.2</v>
      </c>
      <c r="I45">
        <v>-0.29</v>
      </c>
      <c r="J45">
        <v>-0.23</v>
      </c>
      <c r="K45">
        <v>0.05</v>
      </c>
      <c r="L45">
        <v>2278</v>
      </c>
      <c r="M45">
        <v>1134</v>
      </c>
      <c r="N45">
        <v>35</v>
      </c>
      <c r="O45" t="inlineStr">
        <is>
          <t>seed_verify_datasheet</t>
        </is>
      </c>
      <c r="P45" t="inlineStr">
        <is>
          <t>Starter record for string sizing tests.</t>
        </is>
      </c>
    </row>
    <row r="46">
      <c r="A46" t="inlineStr">
        <is>
          <t>LONGi</t>
        </is>
      </c>
      <c r="B46" t="inlineStr">
        <is>
          <t>Hi-MO 6</t>
        </is>
      </c>
      <c r="C46" t="inlineStr">
        <is>
          <t>LR5-72HTH-585M</t>
        </is>
      </c>
      <c r="D46">
        <v>585</v>
      </c>
      <c r="E46">
        <v>43.7</v>
      </c>
      <c r="F46">
        <v>13.39</v>
      </c>
      <c r="G46">
        <v>51.97</v>
      </c>
      <c r="H46">
        <v>14.26</v>
      </c>
      <c r="I46">
        <v>-0.29</v>
      </c>
      <c r="J46">
        <v>-0.23</v>
      </c>
      <c r="K46">
        <v>0.05</v>
      </c>
      <c r="L46">
        <v>2278</v>
      </c>
      <c r="M46">
        <v>1134</v>
      </c>
      <c r="N46">
        <v>35</v>
      </c>
      <c r="O46" t="inlineStr">
        <is>
          <t>seed_verify_datasheet</t>
        </is>
      </c>
      <c r="P46" t="inlineStr">
        <is>
          <t>Starter record for string sizing tests.</t>
        </is>
      </c>
    </row>
    <row r="47">
      <c r="A47" t="inlineStr">
        <is>
          <t>SunPro</t>
        </is>
      </c>
      <c r="B47" t="inlineStr">
        <is>
          <t>SPDG N-type</t>
        </is>
      </c>
      <c r="C47" t="inlineStr">
        <is>
          <t>SPDG430-N108M10</t>
        </is>
      </c>
      <c r="D47">
        <v>430</v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>model_only_needs_datasheet</t>
        </is>
      </c>
      <c r="P47" t="inlineStr">
        <is>
          <t>Panel catalog model; datasheet parameters pending.</t>
        </is>
      </c>
    </row>
    <row r="48">
      <c r="A48" t="inlineStr">
        <is>
          <t>SunPro</t>
        </is>
      </c>
      <c r="B48" t="inlineStr">
        <is>
          <t>SPDG N-type</t>
        </is>
      </c>
      <c r="C48" t="inlineStr">
        <is>
          <t>SPDG435-N108M10</t>
        </is>
      </c>
      <c r="D48">
        <v>435</v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>model_only_needs_datasheet</t>
        </is>
      </c>
      <c r="P48" t="inlineStr">
        <is>
          <t>Panel catalog model; datasheet parameters pending.</t>
        </is>
      </c>
    </row>
    <row r="49">
      <c r="A49" t="inlineStr">
        <is>
          <t>SunPro</t>
        </is>
      </c>
      <c r="B49" t="inlineStr">
        <is>
          <t>SPDG N-type</t>
        </is>
      </c>
      <c r="C49" t="inlineStr">
        <is>
          <t>SPDG440-N108M10</t>
        </is>
      </c>
      <c r="D49">
        <v>440</v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>model_only_needs_datasheet</t>
        </is>
      </c>
      <c r="P49" t="inlineStr">
        <is>
          <t>Panel catalog model; datasheet parameters pending.</t>
        </is>
      </c>
    </row>
    <row r="50">
      <c r="A50" t="inlineStr">
        <is>
          <t>SunPro</t>
        </is>
      </c>
      <c r="B50" t="inlineStr">
        <is>
          <t>SPDG N-type</t>
        </is>
      </c>
      <c r="C50" t="inlineStr">
        <is>
          <t>SPDG570-N144M10</t>
        </is>
      </c>
      <c r="D50">
        <v>570</v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>model_only_needs_datasheet</t>
        </is>
      </c>
      <c r="P50" t="inlineStr">
        <is>
          <t>Panel catalog model; datasheet parameters pending.</t>
        </is>
      </c>
    </row>
    <row r="51">
      <c r="A51" t="inlineStr">
        <is>
          <t>SunPro</t>
        </is>
      </c>
      <c r="B51" t="inlineStr">
        <is>
          <t>SPDG N-type</t>
        </is>
      </c>
      <c r="C51" t="inlineStr">
        <is>
          <t>SPDG575-N144M10</t>
        </is>
      </c>
      <c r="D51">
        <v>575</v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>model_only_needs_datasheet</t>
        </is>
      </c>
      <c r="P51" t="inlineStr">
        <is>
          <t>Panel catalog model; datasheet parameters pending.</t>
        </is>
      </c>
    </row>
    <row r="52">
      <c r="A52" t="inlineStr">
        <is>
          <t>SunPro</t>
        </is>
      </c>
      <c r="B52" t="inlineStr">
        <is>
          <t>SPDG N-type</t>
        </is>
      </c>
      <c r="C52" t="inlineStr">
        <is>
          <t>SPDG580-N144M10</t>
        </is>
      </c>
      <c r="D52">
        <v>580</v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>model_only_needs_datasheet</t>
        </is>
      </c>
      <c r="P52" t="inlineStr">
        <is>
          <t>Panel catalog model; datasheet parameters pending.</t>
        </is>
      </c>
    </row>
    <row r="53">
      <c r="A53" t="inlineStr">
        <is>
          <t>SunPro</t>
        </is>
      </c>
      <c r="B53" t="inlineStr">
        <is>
          <t>SPDG N-type</t>
        </is>
      </c>
      <c r="C53" t="inlineStr">
        <is>
          <t>SPDG585-N144M10</t>
        </is>
      </c>
      <c r="D53">
        <v>585</v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>model_only_needs_datasheet</t>
        </is>
      </c>
      <c r="P53" t="inlineStr">
        <is>
          <t>Panel catalog model; datasheet parameters pending.</t>
        </is>
      </c>
    </row>
    <row r="54">
      <c r="A54" t="inlineStr">
        <is>
          <t>Trina</t>
        </is>
      </c>
      <c r="B54" t="inlineStr">
        <is>
          <t>Vertex S+</t>
        </is>
      </c>
      <c r="C54" t="inlineStr">
        <is>
          <t>TSM-NEG9R.25-430</t>
        </is>
      </c>
      <c r="D54">
        <v>430</v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>model_only_needs_datasheet</t>
        </is>
      </c>
      <c r="P54" t="inlineStr">
        <is>
          <t>Panel catalog model; datasheet parameters pending.</t>
        </is>
      </c>
    </row>
    <row r="55">
      <c r="A55" t="inlineStr">
        <is>
          <t>Trina</t>
        </is>
      </c>
      <c r="B55" t="inlineStr">
        <is>
          <t>Vertex S+</t>
        </is>
      </c>
      <c r="C55" t="inlineStr">
        <is>
          <t>TSM-NEG9R.25-435</t>
        </is>
      </c>
      <c r="D55">
        <v>435</v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>model_only_needs_datasheet</t>
        </is>
      </c>
      <c r="P55" t="inlineStr">
        <is>
          <t>Panel catalog model; datasheet parameters pending.</t>
        </is>
      </c>
    </row>
    <row r="56">
      <c r="A56" t="inlineStr">
        <is>
          <t>Trina</t>
        </is>
      </c>
      <c r="B56" t="inlineStr">
        <is>
          <t>Vertex S+</t>
        </is>
      </c>
      <c r="C56" t="inlineStr">
        <is>
          <t>TSM-NEG9R.25-440</t>
        </is>
      </c>
      <c r="D56">
        <v>440</v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>model_only_needs_datasheet</t>
        </is>
      </c>
      <c r="P56" t="inlineStr">
        <is>
          <t>Panel catalog model; datasheet parameters pending.</t>
        </is>
      </c>
    </row>
    <row r="57">
      <c r="A57" t="inlineStr">
        <is>
          <t>Trina</t>
        </is>
      </c>
      <c r="B57" t="inlineStr">
        <is>
          <t>Vertex N</t>
        </is>
      </c>
      <c r="C57" t="inlineStr">
        <is>
          <t>TSM-NEG18R.28-500</t>
        </is>
      </c>
      <c r="D57">
        <v>500</v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>model_only_needs_datasheet</t>
        </is>
      </c>
      <c r="P57" t="inlineStr">
        <is>
          <t>Panel catalog model; datasheet parameters pending.</t>
        </is>
      </c>
    </row>
    <row r="58">
      <c r="A58" t="inlineStr">
        <is>
          <t>Trina</t>
        </is>
      </c>
      <c r="B58" t="inlineStr">
        <is>
          <t>Vertex N</t>
        </is>
      </c>
      <c r="C58" t="inlineStr">
        <is>
          <t>TSM-NEG18R.28-505</t>
        </is>
      </c>
      <c r="D58">
        <v>505</v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>model_only_needs_datasheet</t>
        </is>
      </c>
      <c r="P58" t="inlineStr">
        <is>
          <t>Panel catalog model; datasheet parameters pending.</t>
        </is>
      </c>
    </row>
    <row r="59">
      <c r="A59" t="inlineStr">
        <is>
          <t>Trina</t>
        </is>
      </c>
      <c r="B59" t="inlineStr">
        <is>
          <t>Vertex N</t>
        </is>
      </c>
      <c r="C59" t="inlineStr">
        <is>
          <t>TSM-NEG18R.28-510</t>
        </is>
      </c>
      <c r="D59">
        <v>510</v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>model_only_needs_datasheet</t>
        </is>
      </c>
      <c r="P59" t="inlineStr">
        <is>
          <t>Panel catalog model; datasheet parameters pending.</t>
        </is>
      </c>
    </row>
    <row r="60">
      <c r="A60" t="inlineStr">
        <is>
          <t>Trina</t>
        </is>
      </c>
      <c r="B60" t="inlineStr">
        <is>
          <t>Vertex N</t>
        </is>
      </c>
      <c r="C60" t="inlineStr">
        <is>
          <t>TSM-NEG19RC.20-575</t>
        </is>
      </c>
      <c r="D60">
        <v>575</v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>model_only_needs_datasheet</t>
        </is>
      </c>
      <c r="P60" t="inlineStr">
        <is>
          <t>Panel catalog model; datasheet parameters pending.</t>
        </is>
      </c>
    </row>
    <row r="61">
      <c r="A61" t="inlineStr">
        <is>
          <t>Trina</t>
        </is>
      </c>
      <c r="B61" t="inlineStr">
        <is>
          <t>Vertex N</t>
        </is>
      </c>
      <c r="C61" t="inlineStr">
        <is>
          <t>TSM-NEG19RC.20-580</t>
        </is>
      </c>
      <c r="D61">
        <v>580</v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>model_only_needs_datasheet</t>
        </is>
      </c>
      <c r="P61" t="inlineStr">
        <is>
          <t>Panel catalog model; datasheet parameters pending.</t>
        </is>
      </c>
    </row>
    <row r="62">
      <c r="A62" t="inlineStr">
        <is>
          <t>Trina</t>
        </is>
      </c>
      <c r="B62" t="inlineStr">
        <is>
          <t>Vertex N</t>
        </is>
      </c>
      <c r="C62" t="inlineStr">
        <is>
          <t>TSM-NEG19RC.20-585</t>
        </is>
      </c>
      <c r="D62">
        <v>585</v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>model_only_needs_datasheet</t>
        </is>
      </c>
      <c r="P62" t="inlineStr">
        <is>
          <t>Panel catalog model; datasheet parameters pending.</t>
        </is>
      </c>
    </row>
    <row r="63">
      <c r="A63" t="inlineStr">
        <is>
          <t>Trina</t>
        </is>
      </c>
      <c r="B63" t="inlineStr">
        <is>
          <t>Vertex N</t>
        </is>
      </c>
      <c r="C63" t="inlineStr">
        <is>
          <t>TSM-NEG21C.20-700</t>
        </is>
      </c>
      <c r="D63">
        <v>700</v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>model_only_needs_datasheet</t>
        </is>
      </c>
      <c r="P63" t="inlineStr">
        <is>
          <t>Panel catalog model; datasheet parameters pending.</t>
        </is>
      </c>
    </row>
    <row r="64">
      <c r="A64" t="inlineStr">
        <is>
          <t>Trina</t>
        </is>
      </c>
      <c r="B64" t="inlineStr">
        <is>
          <t>Vertex N</t>
        </is>
      </c>
      <c r="C64" t="inlineStr">
        <is>
          <t>TSM-NEG21C.20-705</t>
        </is>
      </c>
      <c r="D64">
        <v>705</v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>model_only_needs_datasheet</t>
        </is>
      </c>
      <c r="P64" t="inlineStr">
        <is>
          <t>Panel catalog model; datasheet parameters pending.</t>
        </is>
      </c>
    </row>
    <row r="65">
      <c r="A65" t="inlineStr">
        <is>
          <t>Trina</t>
        </is>
      </c>
      <c r="B65" t="inlineStr">
        <is>
          <t>Vertex N</t>
        </is>
      </c>
      <c r="C65" t="inlineStr">
        <is>
          <t>TSM-NEG21C.20-710</t>
        </is>
      </c>
      <c r="D65">
        <v>710</v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>model_only_needs_datasheet</t>
        </is>
      </c>
      <c r="P65" t="inlineStr">
        <is>
          <t>Panel catalog model; datasheet parameters pending.</t>
        </is>
      </c>
    </row>
    <row r="66">
      <c r="A66" t="inlineStr">
        <is>
          <t>Ulica</t>
        </is>
      </c>
      <c r="B66" t="inlineStr">
        <is>
          <t>UL N-type</t>
        </is>
      </c>
      <c r="C66" t="inlineStr">
        <is>
          <t>UL-430M-108HV</t>
        </is>
      </c>
      <c r="D66">
        <v>430</v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>model_only_needs_datasheet</t>
        </is>
      </c>
      <c r="P66" t="inlineStr">
        <is>
          <t>Panel catalog model; datasheet parameters pending.</t>
        </is>
      </c>
    </row>
    <row r="67">
      <c r="A67" t="inlineStr">
        <is>
          <t>Ulica</t>
        </is>
      </c>
      <c r="B67" t="inlineStr">
        <is>
          <t>UL N-type</t>
        </is>
      </c>
      <c r="C67" t="inlineStr">
        <is>
          <t>UL-435M-108HV</t>
        </is>
      </c>
      <c r="D67">
        <v>435</v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>model_only_needs_datasheet</t>
        </is>
      </c>
      <c r="P67" t="inlineStr">
        <is>
          <t>Panel catalog model; datasheet parameters pending.</t>
        </is>
      </c>
    </row>
    <row r="68">
      <c r="A68" t="inlineStr">
        <is>
          <t>Ulica</t>
        </is>
      </c>
      <c r="B68" t="inlineStr">
        <is>
          <t>UL N-type</t>
        </is>
      </c>
      <c r="C68" t="inlineStr">
        <is>
          <t>UL-440M-108HV</t>
        </is>
      </c>
      <c r="D68">
        <v>440</v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>model_only_needs_datasheet</t>
        </is>
      </c>
      <c r="P68" t="inlineStr">
        <is>
          <t>Panel catalog model; datasheet parameters pending.</t>
        </is>
      </c>
    </row>
    <row r="69">
      <c r="A69" t="inlineStr">
        <is>
          <t>Ulica</t>
        </is>
      </c>
      <c r="B69" t="inlineStr">
        <is>
          <t>UL N-type</t>
        </is>
      </c>
      <c r="C69" t="inlineStr">
        <is>
          <t>UL-550M-144HV</t>
        </is>
      </c>
      <c r="D69">
        <v>550</v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>model_only_needs_datasheet</t>
        </is>
      </c>
      <c r="P69" t="inlineStr">
        <is>
          <t>Panel catalog model; datasheet parameters pending.</t>
        </is>
      </c>
    </row>
    <row r="70">
      <c r="A70" t="inlineStr">
        <is>
          <t>Ulica</t>
        </is>
      </c>
      <c r="B70" t="inlineStr">
        <is>
          <t>UL N-type</t>
        </is>
      </c>
      <c r="C70" t="inlineStr">
        <is>
          <t>UL-555M-144HV</t>
        </is>
      </c>
      <c r="D70">
        <v>555</v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>model_only_needs_datasheet</t>
        </is>
      </c>
      <c r="P70" t="inlineStr">
        <is>
          <t>Panel catalog model; datasheet parameters pending.</t>
        </is>
      </c>
    </row>
    <row r="71">
      <c r="A71" t="inlineStr">
        <is>
          <t>Ulica</t>
        </is>
      </c>
      <c r="B71" t="inlineStr">
        <is>
          <t>UL N-type</t>
        </is>
      </c>
      <c r="C71" t="inlineStr">
        <is>
          <t>UL-560M-144HV</t>
        </is>
      </c>
      <c r="D71">
        <v>560</v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>model_only_needs_datasheet</t>
        </is>
      </c>
      <c r="P71" t="inlineStr">
        <is>
          <t>Panel catalog model; datasheet parameters pending.</t>
        </is>
      </c>
    </row>
    <row r="72">
      <c r="A72" t="inlineStr">
        <is>
          <t>Ulica</t>
        </is>
      </c>
      <c r="B72" t="inlineStr">
        <is>
          <t>UL N-type</t>
        </is>
      </c>
      <c r="C72" t="inlineStr">
        <is>
          <t>UL-575M-144HV</t>
        </is>
      </c>
      <c r="D72">
        <v>575</v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>model_only_needs_datasheet</t>
        </is>
      </c>
      <c r="P72" t="inlineStr">
        <is>
          <t>Panel catalog model; datasheet parameters pending.</t>
        </is>
      </c>
    </row>
    <row r="73">
      <c r="A73" t="inlineStr">
        <is>
          <t>Ulica</t>
        </is>
      </c>
      <c r="B73" t="inlineStr">
        <is>
          <t>UL N-type</t>
        </is>
      </c>
      <c r="C73" t="inlineStr">
        <is>
          <t>UL-580M-144HV</t>
        </is>
      </c>
      <c r="D73">
        <v>580</v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>model_only_needs_datasheet</t>
        </is>
      </c>
      <c r="P73" t="inlineStr">
        <is>
          <t>Panel catalog model; datasheet parameters pending.</t>
        </is>
      </c>
    </row>
  </sheetData>
  <autoFilter ref="A1:P7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24" customWidth="1"/>
    <col min="3" max="3" width="34" customWidth="1"/>
    <col min="13" max="13" width="24" customWidth="1"/>
    <col min="15" max="15" width="70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chemistry</t>
        </is>
      </c>
      <c r="E1" t="inlineStr" s="1">
        <is>
          <t>nominal_energy_kwh</t>
        </is>
      </c>
      <c r="F1" t="inlineStr" s="1">
        <is>
          <t>usable_energy_kwh</t>
        </is>
      </c>
      <c r="G1" t="inlineStr" s="1">
        <is>
          <t>nominal_voltage_v</t>
        </is>
      </c>
      <c r="H1" t="inlineStr" s="1">
        <is>
          <t>capacity_ah</t>
        </is>
      </c>
      <c r="I1" t="inlineStr" s="1">
        <is>
          <t>cycle_life_min</t>
        </is>
      </c>
      <c r="J1" t="inlineStr" s="1">
        <is>
          <t>cycle_life_max</t>
        </is>
      </c>
      <c r="K1" t="inlineStr" s="1">
        <is>
          <t>communication</t>
        </is>
      </c>
      <c r="L1" t="inlineStr" s="1">
        <is>
          <t>bms</t>
        </is>
      </c>
      <c r="M1" t="inlineStr" s="1">
        <is>
          <t>compatibility</t>
        </is>
      </c>
      <c r="N1" t="inlineStr" s="1">
        <is>
          <t>data_status</t>
        </is>
      </c>
      <c r="O1" t="inlineStr" s="1">
        <is>
          <t>notes</t>
        </is>
      </c>
    </row>
    <row r="2">
      <c r="A2" t="inlineStr">
        <is>
          <t>Pylontech</t>
        </is>
      </c>
      <c r="B2" t="inlineStr">
        <is>
          <t>US Series</t>
        </is>
      </c>
      <c r="C2" t="inlineStr">
        <is>
          <t>US5000</t>
        </is>
      </c>
      <c r="D2" t="inlineStr">
        <is>
          <t>LiFePO4</t>
        </is>
      </c>
      <c r="E2">
        <v>4.8</v>
      </c>
      <c r="F2" t="inlineStr">
        <is>
          <t/>
        </is>
      </c>
      <c r="G2">
        <v>48</v>
      </c>
      <c r="H2" t="inlineStr">
        <is>
          <t/>
        </is>
      </c>
      <c r="I2">
        <v>6000</v>
      </c>
      <c r="J2">
        <v>8000</v>
      </c>
      <c r="K2" t="inlineStr">
        <is>
          <t>CAN/RS485</t>
        </is>
      </c>
      <c r="L2" t="inlineStr">
        <is>
          <t>Integrated BMS</t>
        </is>
      </c>
      <c r="M2" t="inlineStr">
        <is>
          <t>Deye compatible</t>
        </is>
      </c>
      <c r="N2" t="inlineStr">
        <is>
          <t>seed_verify_datasheet</t>
        </is>
      </c>
      <c r="O2" t="inlineStr">
        <is>
          <t>User-listed premium battery; verify exact usable energy and protocol settings.</t>
        </is>
      </c>
    </row>
    <row r="3">
      <c r="A3" t="inlineStr">
        <is>
          <t>Pylontech</t>
        </is>
      </c>
      <c r="B3" t="inlineStr">
        <is>
          <t>Force L2</t>
        </is>
      </c>
      <c r="C3" t="inlineStr">
        <is>
          <t>Force L2</t>
        </is>
      </c>
      <c r="D3" t="inlineStr">
        <is>
          <t>LiFePO4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>
        <v>6000</v>
      </c>
      <c r="J3">
        <v>8000</v>
      </c>
      <c r="K3" t="inlineStr">
        <is>
          <t>CAN/RS485</t>
        </is>
      </c>
      <c r="L3" t="inlineStr">
        <is>
          <t>Integrated BMS</t>
        </is>
      </c>
      <c r="M3" t="inlineStr">
        <is>
          <t>Deye compatible</t>
        </is>
      </c>
      <c r="N3" t="inlineStr">
        <is>
          <t>model_only_needs_datasheet</t>
        </is>
      </c>
      <c r="O3" t="inlineStr">
        <is>
          <t>User-listed premium low-voltage stack; datasheet parameters pending.</t>
        </is>
      </c>
    </row>
    <row r="4">
      <c r="A4" t="inlineStr">
        <is>
          <t>Pylontech</t>
        </is>
      </c>
      <c r="B4" t="inlineStr">
        <is>
          <t>Force H2</t>
        </is>
      </c>
      <c r="C4" t="inlineStr">
        <is>
          <t>Force H2</t>
        </is>
      </c>
      <c r="D4" t="inlineStr">
        <is>
          <t>LiFePO4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>
        <v>6000</v>
      </c>
      <c r="J4">
        <v>8000</v>
      </c>
      <c r="K4" t="inlineStr">
        <is>
          <t>CAN/RS485</t>
        </is>
      </c>
      <c r="L4" t="inlineStr">
        <is>
          <t>Integrated BMS</t>
        </is>
      </c>
      <c r="M4" t="inlineStr">
        <is>
          <t>Deye compatible</t>
        </is>
      </c>
      <c r="N4" t="inlineStr">
        <is>
          <t>model_only_needs_datasheet</t>
        </is>
      </c>
      <c r="O4" t="inlineStr">
        <is>
          <t>User-listed premium high-voltage stack; datasheet parameters pending.</t>
        </is>
      </c>
    </row>
    <row r="5">
      <c r="A5" t="inlineStr">
        <is>
          <t>Dyness</t>
        </is>
      </c>
      <c r="B5" t="inlineStr">
        <is>
          <t>BX Series</t>
        </is>
      </c>
      <c r="C5" t="inlineStr">
        <is>
          <t>BX51100</t>
        </is>
      </c>
      <c r="D5" t="inlineStr">
        <is>
          <t>LiFePO4</t>
        </is>
      </c>
      <c r="E5">
        <v>5.12</v>
      </c>
      <c r="F5" t="inlineStr">
        <is>
          <t/>
        </is>
      </c>
      <c r="G5">
        <v>51.2</v>
      </c>
      <c r="H5">
        <v>100</v>
      </c>
      <c r="I5" t="inlineStr">
        <is>
          <t/>
        </is>
      </c>
      <c r="J5" t="inlineStr">
        <is>
          <t/>
        </is>
      </c>
      <c r="K5" t="inlineStr">
        <is>
          <t>CAN/RS485</t>
        </is>
      </c>
      <c r="L5" t="inlineStr">
        <is>
          <t>Integrated BMS</t>
        </is>
      </c>
      <c r="M5" t="inlineStr">
        <is>
          <t>Deye compatible</t>
        </is>
      </c>
      <c r="N5" t="inlineStr">
        <is>
          <t>seed_verify_datasheet</t>
        </is>
      </c>
      <c r="O5" t="inlineStr">
        <is>
          <t>User-listed value battery; verify exact cycle life and protocol settings.</t>
        </is>
      </c>
    </row>
    <row r="6">
      <c r="A6" t="inlineStr">
        <is>
          <t>Dyness</t>
        </is>
      </c>
      <c r="B6" t="inlineStr">
        <is>
          <t>PowerRack</t>
        </is>
      </c>
      <c r="C6" t="inlineStr">
        <is>
          <t>PowerRack</t>
        </is>
      </c>
      <c r="D6" t="inlineStr">
        <is>
          <t>LiFePO4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CAN/RS485</t>
        </is>
      </c>
      <c r="L6" t="inlineStr">
        <is>
          <t>Integrated BMS</t>
        </is>
      </c>
      <c r="M6" t="inlineStr">
        <is>
          <t>Deye compatible</t>
        </is>
      </c>
      <c r="N6" t="inlineStr">
        <is>
          <t>model_only_needs_datasheet</t>
        </is>
      </c>
      <c r="O6" t="inlineStr">
        <is>
          <t>User-listed rack battery series; datasheet parameters pending.</t>
        </is>
      </c>
    </row>
    <row r="7">
      <c r="A7" t="inlineStr">
        <is>
          <t>Dyness</t>
        </is>
      </c>
      <c r="B7" t="inlineStr">
        <is>
          <t>Tower</t>
        </is>
      </c>
      <c r="C7" t="inlineStr">
        <is>
          <t>Tower</t>
        </is>
      </c>
      <c r="D7" t="inlineStr">
        <is>
          <t>LiFePO4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CAN/RS485</t>
        </is>
      </c>
      <c r="L7" t="inlineStr">
        <is>
          <t>Integrated BMS</t>
        </is>
      </c>
      <c r="M7" t="inlineStr">
        <is>
          <t>Deye compatible</t>
        </is>
      </c>
      <c r="N7" t="inlineStr">
        <is>
          <t>model_only_needs_datasheet</t>
        </is>
      </c>
      <c r="O7" t="inlineStr">
        <is>
          <t>User-listed stack battery series; datasheet parameters pending.</t>
        </is>
      </c>
    </row>
    <row r="8">
      <c r="A8" t="inlineStr">
        <is>
          <t>Deye ESS</t>
        </is>
      </c>
      <c r="B8" t="inlineStr">
        <is>
          <t>SE Series</t>
        </is>
      </c>
      <c r="C8" t="inlineStr">
        <is>
          <t>SE-G5.1</t>
        </is>
      </c>
      <c r="D8" t="inlineStr">
        <is>
          <t>LiFePO4</t>
        </is>
      </c>
      <c r="E8">
        <v>5.12</v>
      </c>
      <c r="F8" t="inlineStr">
        <is>
          <t/>
        </is>
      </c>
      <c r="G8">
        <v>51.2</v>
      </c>
      <c r="H8">
        <v>100</v>
      </c>
      <c r="I8" t="inlineStr">
        <is>
          <t/>
        </is>
      </c>
      <c r="J8" t="inlineStr">
        <is>
          <t/>
        </is>
      </c>
      <c r="K8" t="inlineStr">
        <is>
          <t>CAN/RS485</t>
        </is>
      </c>
      <c r="L8" t="inlineStr">
        <is>
          <t>Deye BMS</t>
        </is>
      </c>
      <c r="M8" t="inlineStr">
        <is>
          <t>Deye native</t>
        </is>
      </c>
      <c r="N8" t="inlineStr">
        <is>
          <t>seed_verify_datasheet</t>
        </is>
      </c>
      <c r="O8" t="inlineStr">
        <is>
          <t>Deye ESS model; native protocol expected; verify datasheet.</t>
        </is>
      </c>
    </row>
    <row r="9">
      <c r="A9" t="inlineStr">
        <is>
          <t>Deye ESS</t>
        </is>
      </c>
      <c r="B9" t="inlineStr">
        <is>
          <t>SE Series</t>
        </is>
      </c>
      <c r="C9" t="inlineStr">
        <is>
          <t>SE-F5</t>
        </is>
      </c>
      <c r="D9" t="inlineStr">
        <is>
          <t>LiFePO4</t>
        </is>
      </c>
      <c r="E9">
        <v>5.12</v>
      </c>
      <c r="F9" t="inlineStr">
        <is>
          <t/>
        </is>
      </c>
      <c r="G9">
        <v>51.2</v>
      </c>
      <c r="H9">
        <v>100</v>
      </c>
      <c r="I9" t="inlineStr">
        <is>
          <t/>
        </is>
      </c>
      <c r="J9" t="inlineStr">
        <is>
          <t/>
        </is>
      </c>
      <c r="K9" t="inlineStr">
        <is>
          <t>CAN/RS485</t>
        </is>
      </c>
      <c r="L9" t="inlineStr">
        <is>
          <t>Deye BMS</t>
        </is>
      </c>
      <c r="M9" t="inlineStr">
        <is>
          <t>Deye native</t>
        </is>
      </c>
      <c r="N9" t="inlineStr">
        <is>
          <t>model_only_needs_datasheet</t>
        </is>
      </c>
      <c r="O9" t="inlineStr">
        <is>
          <t>Deye ESS model; datasheet parameters pending.</t>
        </is>
      </c>
    </row>
    <row r="10">
      <c r="A10" t="inlineStr">
        <is>
          <t>Deye ESS</t>
        </is>
      </c>
      <c r="B10" t="inlineStr">
        <is>
          <t>RW Series</t>
        </is>
      </c>
      <c r="C10" t="inlineStr">
        <is>
          <t>RW-F16</t>
        </is>
      </c>
      <c r="D10" t="inlineStr">
        <is>
          <t>LiFePO4</t>
        </is>
      </c>
      <c r="E10">
        <v>16</v>
      </c>
      <c r="F10" t="inlineStr">
        <is>
          <t/>
        </is>
      </c>
      <c r="G10">
        <v>51.2</v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CAN/RS485</t>
        </is>
      </c>
      <c r="L10" t="inlineStr">
        <is>
          <t>Deye BMS</t>
        </is>
      </c>
      <c r="M10" t="inlineStr">
        <is>
          <t>Deye native</t>
        </is>
      </c>
      <c r="N10" t="inlineStr">
        <is>
          <t>seed_verify_datasheet</t>
        </is>
      </c>
      <c r="O10" t="inlineStr">
        <is>
          <t>Deye ESS high-capacity model; verify exact energy and current limits.</t>
        </is>
      </c>
    </row>
    <row r="11">
      <c r="A11" t="inlineStr">
        <is>
          <t>Gobel Power</t>
        </is>
      </c>
      <c r="B11" t="inlineStr">
        <is>
          <t>Rack/Wall</t>
        </is>
      </c>
      <c r="C11" t="inlineStr">
        <is>
          <t>Gobel Power 5.12kWh 51.2V 100Ah</t>
        </is>
      </c>
      <c r="D11" t="inlineStr">
        <is>
          <t>LiFePO4</t>
        </is>
      </c>
      <c r="E11">
        <v>5.12</v>
      </c>
      <c r="F11" t="inlineStr">
        <is>
          <t/>
        </is>
      </c>
      <c r="G11">
        <v>51.2</v>
      </c>
      <c r="H11">
        <v>100</v>
      </c>
      <c r="I11" t="inlineStr">
        <is>
          <t/>
        </is>
      </c>
      <c r="J11" t="inlineStr">
        <is>
          <t/>
        </is>
      </c>
      <c r="K11" t="inlineStr">
        <is>
          <t>CAN/RS485</t>
        </is>
      </c>
      <c r="L11" t="inlineStr">
        <is>
          <t>JK/PACE BMS</t>
        </is>
      </c>
      <c r="M11" t="inlineStr">
        <is>
          <t>Deye compatible</t>
        </is>
      </c>
      <c r="N11" t="inlineStr">
        <is>
          <t>model_only_needs_datasheet</t>
        </is>
      </c>
      <c r="O11" t="inlineStr">
        <is>
          <t>User-listed mid-segment supplier; often EVE Grade A+ cells.</t>
        </is>
      </c>
    </row>
    <row r="12">
      <c r="A12" t="inlineStr">
        <is>
          <t>Gobel Power</t>
        </is>
      </c>
      <c r="B12" t="inlineStr">
        <is>
          <t>Rack/Wall</t>
        </is>
      </c>
      <c r="C12" t="inlineStr">
        <is>
          <t>Gobel Power 10.24kWh 51.2V 200Ah</t>
        </is>
      </c>
      <c r="D12" t="inlineStr">
        <is>
          <t>LiFePO4</t>
        </is>
      </c>
      <c r="E12">
        <v>10.24</v>
      </c>
      <c r="F12" t="inlineStr">
        <is>
          <t/>
        </is>
      </c>
      <c r="G12">
        <v>51.2</v>
      </c>
      <c r="H12">
        <v>200</v>
      </c>
      <c r="I12" t="inlineStr">
        <is>
          <t/>
        </is>
      </c>
      <c r="J12" t="inlineStr">
        <is>
          <t/>
        </is>
      </c>
      <c r="K12" t="inlineStr">
        <is>
          <t>CAN/RS485</t>
        </is>
      </c>
      <c r="L12" t="inlineStr">
        <is>
          <t>JK/PACE BMS</t>
        </is>
      </c>
      <c r="M12" t="inlineStr">
        <is>
          <t>Deye compatible</t>
        </is>
      </c>
      <c r="N12" t="inlineStr">
        <is>
          <t>model_only_needs_datasheet</t>
        </is>
      </c>
      <c r="O12" t="inlineStr">
        <is>
          <t>User-listed mid-segment supplier; datasheet parameters pending.</t>
        </is>
      </c>
    </row>
    <row r="13">
      <c r="A13" t="inlineStr">
        <is>
          <t>GSL Energy</t>
        </is>
      </c>
      <c r="B13" t="inlineStr">
        <is>
          <t>Wall/Rack</t>
        </is>
      </c>
      <c r="C13" t="inlineStr">
        <is>
          <t>GSL 5.12kWh 51.2V 100Ah</t>
        </is>
      </c>
      <c r="D13" t="inlineStr">
        <is>
          <t>LiFePO4</t>
        </is>
      </c>
      <c r="E13">
        <v>5.12</v>
      </c>
      <c r="F13" t="inlineStr">
        <is>
          <t/>
        </is>
      </c>
      <c r="G13">
        <v>51.2</v>
      </c>
      <c r="H13">
        <v>100</v>
      </c>
      <c r="I13" t="inlineStr">
        <is>
          <t/>
        </is>
      </c>
      <c r="J13" t="inlineStr">
        <is>
          <t/>
        </is>
      </c>
      <c r="K13" t="inlineStr">
        <is>
          <t>CAN/RS485</t>
        </is>
      </c>
      <c r="L13" t="inlineStr">
        <is>
          <t>Integrated BMS</t>
        </is>
      </c>
      <c r="M13" t="inlineStr">
        <is>
          <t>Deye compatible</t>
        </is>
      </c>
      <c r="N13" t="inlineStr">
        <is>
          <t>model_only_needs_datasheet</t>
        </is>
      </c>
      <c r="O13" t="inlineStr">
        <is>
          <t>User-listed supplier; EVE/CATL cells reported by user.</t>
        </is>
      </c>
    </row>
    <row r="14">
      <c r="A14" t="inlineStr">
        <is>
          <t>GSL Energy</t>
        </is>
      </c>
      <c r="B14" t="inlineStr">
        <is>
          <t>Wall/Rack</t>
        </is>
      </c>
      <c r="C14" t="inlineStr">
        <is>
          <t>GSL 10.24kWh 51.2V 200Ah</t>
        </is>
      </c>
      <c r="D14" t="inlineStr">
        <is>
          <t>LiFePO4</t>
        </is>
      </c>
      <c r="E14">
        <v>10.24</v>
      </c>
      <c r="F14" t="inlineStr">
        <is>
          <t/>
        </is>
      </c>
      <c r="G14">
        <v>51.2</v>
      </c>
      <c r="H14">
        <v>200</v>
      </c>
      <c r="I14" t="inlineStr">
        <is>
          <t/>
        </is>
      </c>
      <c r="J14" t="inlineStr">
        <is>
          <t/>
        </is>
      </c>
      <c r="K14" t="inlineStr">
        <is>
          <t>CAN/RS485</t>
        </is>
      </c>
      <c r="L14" t="inlineStr">
        <is>
          <t>Integrated BMS</t>
        </is>
      </c>
      <c r="M14" t="inlineStr">
        <is>
          <t>Deye compatible</t>
        </is>
      </c>
      <c r="N14" t="inlineStr">
        <is>
          <t>model_only_needs_datasheet</t>
        </is>
      </c>
      <c r="O14" t="inlineStr">
        <is>
          <t>User-listed supplier; datasheet parameters pending.</t>
        </is>
      </c>
    </row>
    <row r="15">
      <c r="A15" t="inlineStr">
        <is>
          <t>Felicity ESS</t>
        </is>
      </c>
      <c r="B15" t="inlineStr">
        <is>
          <t>LPBA Series</t>
        </is>
      </c>
      <c r="C15" t="inlineStr">
        <is>
          <t>LPBA48100-OL</t>
        </is>
      </c>
      <c r="D15" t="inlineStr">
        <is>
          <t>LiFePO4</t>
        </is>
      </c>
      <c r="E15">
        <v>5.12</v>
      </c>
      <c r="F15" t="inlineStr">
        <is>
          <t/>
        </is>
      </c>
      <c r="G15">
        <v>51.2</v>
      </c>
      <c r="H15">
        <v>100</v>
      </c>
      <c r="I15" t="inlineStr">
        <is>
          <t/>
        </is>
      </c>
      <c r="J15" t="inlineStr">
        <is>
          <t/>
        </is>
      </c>
      <c r="K15" t="inlineStr">
        <is>
          <t>CAN/RS485</t>
        </is>
      </c>
      <c r="L15" t="inlineStr">
        <is>
          <t>Integrated BMS</t>
        </is>
      </c>
      <c r="M15" t="inlineStr">
        <is>
          <t>Deye compatible</t>
        </is>
      </c>
      <c r="N15" t="inlineStr">
        <is>
          <t>model_only_needs_datasheet</t>
        </is>
      </c>
      <c r="O15" t="inlineStr">
        <is>
          <t>Common Felicity low-voltage model candidate; datasheet parameters pending.</t>
        </is>
      </c>
    </row>
    <row r="16">
      <c r="A16" t="inlineStr">
        <is>
          <t>Felicity ESS</t>
        </is>
      </c>
      <c r="B16" t="inlineStr">
        <is>
          <t>LPBF Series</t>
        </is>
      </c>
      <c r="C16" t="inlineStr">
        <is>
          <t>LPBF48100-M</t>
        </is>
      </c>
      <c r="D16" t="inlineStr">
        <is>
          <t>LiFePO4</t>
        </is>
      </c>
      <c r="E16">
        <v>5.12</v>
      </c>
      <c r="F16" t="inlineStr">
        <is>
          <t/>
        </is>
      </c>
      <c r="G16">
        <v>51.2</v>
      </c>
      <c r="H16">
        <v>100</v>
      </c>
      <c r="I16" t="inlineStr">
        <is>
          <t/>
        </is>
      </c>
      <c r="J16" t="inlineStr">
        <is>
          <t/>
        </is>
      </c>
      <c r="K16" t="inlineStr">
        <is>
          <t>CAN/RS485</t>
        </is>
      </c>
      <c r="L16" t="inlineStr">
        <is>
          <t>Integrated BMS</t>
        </is>
      </c>
      <c r="M16" t="inlineStr">
        <is>
          <t>Deye compatible</t>
        </is>
      </c>
      <c r="N16" t="inlineStr">
        <is>
          <t>model_only_needs_datasheet</t>
        </is>
      </c>
      <c r="O16" t="inlineStr">
        <is>
          <t>Common Felicity low-voltage model candidate; datasheet parameters pending.</t>
        </is>
      </c>
    </row>
    <row r="17">
      <c r="A17" t="inlineStr">
        <is>
          <t>HinaESS</t>
        </is>
      </c>
      <c r="B17" t="inlineStr">
        <is>
          <t>Rack/Commercial</t>
        </is>
      </c>
      <c r="C17" t="inlineStr">
        <is>
          <t>HinaESS 5.12kWh 51.2V 100Ah</t>
        </is>
      </c>
      <c r="D17" t="inlineStr">
        <is>
          <t>LiFePO4</t>
        </is>
      </c>
      <c r="E17">
        <v>5.12</v>
      </c>
      <c r="F17" t="inlineStr">
        <is>
          <t/>
        </is>
      </c>
      <c r="G17">
        <v>51.2</v>
      </c>
      <c r="H17">
        <v>100</v>
      </c>
      <c r="I17" t="inlineStr">
        <is>
          <t/>
        </is>
      </c>
      <c r="J17" t="inlineStr">
        <is>
          <t/>
        </is>
      </c>
      <c r="K17" t="inlineStr">
        <is>
          <t>CAN/RS485</t>
        </is>
      </c>
      <c r="L17" t="inlineStr">
        <is>
          <t>Integrated BMS</t>
        </is>
      </c>
      <c r="M17" t="inlineStr">
        <is>
          <t>Deye compatible</t>
        </is>
      </c>
      <c r="N17" t="inlineStr">
        <is>
          <t>model_only_needs_datasheet</t>
        </is>
      </c>
      <c r="O17" t="inlineStr">
        <is>
          <t>User-listed commercial battery supplier; datasheet parameters pending.</t>
        </is>
      </c>
    </row>
    <row r="18">
      <c r="A18" t="inlineStr">
        <is>
          <t>HinaESS</t>
        </is>
      </c>
      <c r="B18" t="inlineStr">
        <is>
          <t>Rack/Commercial</t>
        </is>
      </c>
      <c r="C18" t="inlineStr">
        <is>
          <t>HinaESS 10.24kWh 51.2V 200Ah</t>
        </is>
      </c>
      <c r="D18" t="inlineStr">
        <is>
          <t>LiFePO4</t>
        </is>
      </c>
      <c r="E18">
        <v>10.24</v>
      </c>
      <c r="F18" t="inlineStr">
        <is>
          <t/>
        </is>
      </c>
      <c r="G18">
        <v>51.2</v>
      </c>
      <c r="H18">
        <v>200</v>
      </c>
      <c r="I18" t="inlineStr">
        <is>
          <t/>
        </is>
      </c>
      <c r="J18" t="inlineStr">
        <is>
          <t/>
        </is>
      </c>
      <c r="K18" t="inlineStr">
        <is>
          <t>CAN/RS485</t>
        </is>
      </c>
      <c r="L18" t="inlineStr">
        <is>
          <t>Integrated BMS</t>
        </is>
      </c>
      <c r="M18" t="inlineStr">
        <is>
          <t>Deye compatible</t>
        </is>
      </c>
      <c r="N18" t="inlineStr">
        <is>
          <t>model_only_needs_datasheet</t>
        </is>
      </c>
      <c r="O18" t="inlineStr">
        <is>
          <t>User-listed commercial battery supplier; datasheet parameters pending.</t>
        </is>
      </c>
    </row>
    <row r="19">
      <c r="A19" t="inlineStr">
        <is>
          <t>Basen Green</t>
        </is>
      </c>
      <c r="B19" t="inlineStr">
        <is>
          <t>Rack/Wall</t>
        </is>
      </c>
      <c r="C19" t="inlineStr">
        <is>
          <t>Basen Green 5.12kWh 51.2V 100Ah</t>
        </is>
      </c>
      <c r="D19" t="inlineStr">
        <is>
          <t>LiFePO4</t>
        </is>
      </c>
      <c r="E19">
        <v>5.12</v>
      </c>
      <c r="F19" t="inlineStr">
        <is>
          <t/>
        </is>
      </c>
      <c r="G19">
        <v>51.2</v>
      </c>
      <c r="H19">
        <v>100</v>
      </c>
      <c r="I19" t="inlineStr">
        <is>
          <t/>
        </is>
      </c>
      <c r="J19" t="inlineStr">
        <is>
          <t/>
        </is>
      </c>
      <c r="K19" t="inlineStr">
        <is>
          <t>CAN/RS485</t>
        </is>
      </c>
      <c r="L19" t="inlineStr">
        <is>
          <t>Integrated BMS</t>
        </is>
      </c>
      <c r="M19" t="inlineStr">
        <is>
          <t>Deye compatible</t>
        </is>
      </c>
      <c r="N19" t="inlineStr">
        <is>
          <t>model_only_needs_datasheet</t>
        </is>
      </c>
      <c r="O19" t="inlineStr">
        <is>
          <t>OEM battery candidate; datasheet parameters pending.</t>
        </is>
      </c>
    </row>
    <row r="20">
      <c r="A20" t="inlineStr">
        <is>
          <t>Basen Green</t>
        </is>
      </c>
      <c r="B20" t="inlineStr">
        <is>
          <t>Rack/Wall</t>
        </is>
      </c>
      <c r="C20" t="inlineStr">
        <is>
          <t>Basen Green 10.24kWh 51.2V 200Ah</t>
        </is>
      </c>
      <c r="D20" t="inlineStr">
        <is>
          <t>LiFePO4</t>
        </is>
      </c>
      <c r="E20">
        <v>10.24</v>
      </c>
      <c r="F20" t="inlineStr">
        <is>
          <t/>
        </is>
      </c>
      <c r="G20">
        <v>51.2</v>
      </c>
      <c r="H20">
        <v>200</v>
      </c>
      <c r="I20" t="inlineStr">
        <is>
          <t/>
        </is>
      </c>
      <c r="J20" t="inlineStr">
        <is>
          <t/>
        </is>
      </c>
      <c r="K20" t="inlineStr">
        <is>
          <t>CAN/RS485</t>
        </is>
      </c>
      <c r="L20" t="inlineStr">
        <is>
          <t>Integrated BMS</t>
        </is>
      </c>
      <c r="M20" t="inlineStr">
        <is>
          <t>Deye compatible</t>
        </is>
      </c>
      <c r="N20" t="inlineStr">
        <is>
          <t>model_only_needs_datasheet</t>
        </is>
      </c>
      <c r="O20" t="inlineStr">
        <is>
          <t>OEM battery candidate; datasheet parameters pending.</t>
        </is>
      </c>
    </row>
    <row r="21">
      <c r="A21" t="inlineStr">
        <is>
          <t>HTE</t>
        </is>
      </c>
      <c r="B21" t="inlineStr">
        <is>
          <t>Rack/Wall</t>
        </is>
      </c>
      <c r="C21" t="inlineStr">
        <is>
          <t>HTE 5.12kWh 51.2V 100Ah</t>
        </is>
      </c>
      <c r="D21" t="inlineStr">
        <is>
          <t>LiFePO4</t>
        </is>
      </c>
      <c r="E21">
        <v>5.12</v>
      </c>
      <c r="F21" t="inlineStr">
        <is>
          <t/>
        </is>
      </c>
      <c r="G21">
        <v>51.2</v>
      </c>
      <c r="H21">
        <v>100</v>
      </c>
      <c r="I21" t="inlineStr">
        <is>
          <t/>
        </is>
      </c>
      <c r="J21" t="inlineStr">
        <is>
          <t/>
        </is>
      </c>
      <c r="K21" t="inlineStr">
        <is>
          <t>CAN/RS485</t>
        </is>
      </c>
      <c r="L21" t="inlineStr">
        <is>
          <t>Integrated BMS</t>
        </is>
      </c>
      <c r="M21" t="inlineStr">
        <is>
          <t>Deye compatible</t>
        </is>
      </c>
      <c r="N21" t="inlineStr">
        <is>
          <t>model_only_needs_datasheet</t>
        </is>
      </c>
      <c r="O21" t="inlineStr">
        <is>
          <t>OEM battery candidate; datasheet parameters pending.</t>
        </is>
      </c>
    </row>
    <row r="22">
      <c r="A22" t="inlineStr">
        <is>
          <t>SRNE ESS</t>
        </is>
      </c>
      <c r="B22" t="inlineStr">
        <is>
          <t>Rack/Wall</t>
        </is>
      </c>
      <c r="C22" t="inlineStr">
        <is>
          <t>SRNE ESS 5.12kWh 51.2V 100Ah</t>
        </is>
      </c>
      <c r="D22" t="inlineStr">
        <is>
          <t>LiFePO4</t>
        </is>
      </c>
      <c r="E22">
        <v>5.12</v>
      </c>
      <c r="F22" t="inlineStr">
        <is>
          <t/>
        </is>
      </c>
      <c r="G22">
        <v>51.2</v>
      </c>
      <c r="H22">
        <v>100</v>
      </c>
      <c r="I22" t="inlineStr">
        <is>
          <t/>
        </is>
      </c>
      <c r="J22" t="inlineStr">
        <is>
          <t/>
        </is>
      </c>
      <c r="K22" t="inlineStr">
        <is>
          <t>CAN/RS485</t>
        </is>
      </c>
      <c r="L22" t="inlineStr">
        <is>
          <t>Integrated BMS</t>
        </is>
      </c>
      <c r="M22" t="inlineStr">
        <is>
          <t>Deye compatible</t>
        </is>
      </c>
      <c r="N22" t="inlineStr">
        <is>
          <t>model_only_needs_datasheet</t>
        </is>
      </c>
      <c r="O22" t="inlineStr">
        <is>
          <t>OEM battery candidate; datasheet parameters pending.</t>
        </is>
      </c>
    </row>
    <row r="23">
      <c r="A23" t="inlineStr">
        <is>
          <t>Hinen</t>
        </is>
      </c>
      <c r="B23" t="inlineStr">
        <is>
          <t>Rack/Wall</t>
        </is>
      </c>
      <c r="C23" t="inlineStr">
        <is>
          <t>Hinen 5.12kWh 51.2V 100Ah</t>
        </is>
      </c>
      <c r="D23" t="inlineStr">
        <is>
          <t>LiFePO4</t>
        </is>
      </c>
      <c r="E23">
        <v>5.12</v>
      </c>
      <c r="F23" t="inlineStr">
        <is>
          <t/>
        </is>
      </c>
      <c r="G23">
        <v>51.2</v>
      </c>
      <c r="H23">
        <v>100</v>
      </c>
      <c r="I23" t="inlineStr">
        <is>
          <t/>
        </is>
      </c>
      <c r="J23" t="inlineStr">
        <is>
          <t/>
        </is>
      </c>
      <c r="K23" t="inlineStr">
        <is>
          <t>CAN/RS485</t>
        </is>
      </c>
      <c r="L23" t="inlineStr">
        <is>
          <t>Integrated BMS</t>
        </is>
      </c>
      <c r="M23" t="inlineStr">
        <is>
          <t>Deye compatible</t>
        </is>
      </c>
      <c r="N23" t="inlineStr">
        <is>
          <t>model_only_needs_datasheet</t>
        </is>
      </c>
      <c r="O23" t="inlineStr">
        <is>
          <t>OEM battery candidate; datasheet parameters pending.</t>
        </is>
      </c>
    </row>
    <row r="24">
      <c r="A24" t="inlineStr">
        <is>
          <t>Svolt ESS</t>
        </is>
      </c>
      <c r="B24" t="inlineStr">
        <is>
          <t>Rack/Wall</t>
        </is>
      </c>
      <c r="C24" t="inlineStr">
        <is>
          <t>Svolt ESS 5.12kWh 51.2V 100Ah</t>
        </is>
      </c>
      <c r="D24" t="inlineStr">
        <is>
          <t>LiFePO4</t>
        </is>
      </c>
      <c r="E24">
        <v>5.12</v>
      </c>
      <c r="F24" t="inlineStr">
        <is>
          <t/>
        </is>
      </c>
      <c r="G24">
        <v>51.2</v>
      </c>
      <c r="H24">
        <v>100</v>
      </c>
      <c r="I24" t="inlineStr">
        <is>
          <t/>
        </is>
      </c>
      <c r="J24" t="inlineStr">
        <is>
          <t/>
        </is>
      </c>
      <c r="K24" t="inlineStr">
        <is>
          <t>CAN/RS485</t>
        </is>
      </c>
      <c r="L24" t="inlineStr">
        <is>
          <t>Integrated BMS</t>
        </is>
      </c>
      <c r="M24" t="inlineStr">
        <is>
          <t>Deye compatible</t>
        </is>
      </c>
      <c r="N24" t="inlineStr">
        <is>
          <t>model_only_needs_datasheet</t>
        </is>
      </c>
      <c r="O24" t="inlineStr">
        <is>
          <t>OEM battery candidate; datasheet parameters pending.</t>
        </is>
      </c>
    </row>
    <row r="25">
      <c r="A25" t="inlineStr">
        <is>
          <t>EVE Energy ESS</t>
        </is>
      </c>
      <c r="B25" t="inlineStr">
        <is>
          <t>Rack/Wall</t>
        </is>
      </c>
      <c r="C25" t="inlineStr">
        <is>
          <t>EVE Energy ESS 5.12kWh 51.2V 100Ah</t>
        </is>
      </c>
      <c r="D25" t="inlineStr">
        <is>
          <t>LiFePO4</t>
        </is>
      </c>
      <c r="E25">
        <v>5.12</v>
      </c>
      <c r="F25" t="inlineStr">
        <is>
          <t/>
        </is>
      </c>
      <c r="G25">
        <v>51.2</v>
      </c>
      <c r="H25">
        <v>100</v>
      </c>
      <c r="I25" t="inlineStr">
        <is>
          <t/>
        </is>
      </c>
      <c r="J25" t="inlineStr">
        <is>
          <t/>
        </is>
      </c>
      <c r="K25" t="inlineStr">
        <is>
          <t>CAN/RS485</t>
        </is>
      </c>
      <c r="L25" t="inlineStr">
        <is>
          <t>Integrated BMS</t>
        </is>
      </c>
      <c r="M25" t="inlineStr">
        <is>
          <t>Deye compatible</t>
        </is>
      </c>
      <c r="N25" t="inlineStr">
        <is>
          <t>model_only_needs_datasheet</t>
        </is>
      </c>
      <c r="O25" t="inlineStr">
        <is>
          <t>OEM battery candidate; datasheet parameters pending.</t>
        </is>
      </c>
    </row>
  </sheetData>
  <autoFilter ref="A1:O2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9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16" customWidth="1"/>
    <col min="3" max="3" width="10" customWidth="1"/>
    <col min="4" max="4" width="60" customWidth="1"/>
  </cols>
  <sheetData>
    <row r="1">
      <c r="A1" t="inlineStr" s="1">
        <is>
          <t>Mounting quantity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Roof type</t>
        </is>
      </c>
      <c r="B2" s="3">
        <f>Inputs!B11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Total panels</t>
        </is>
      </c>
      <c r="B3" s="3">
        <f>Inputs!B12</f>
      </c>
      <c r="C3" t="inlineStr">
        <is>
          <t>pcs</t>
        </is>
      </c>
      <c r="D3" t="inlineStr">
        <is>
          <t>From Inputs</t>
        </is>
      </c>
    </row>
    <row r="4">
      <c r="A4" t="inlineStr">
        <is>
          <t>Panels per row</t>
        </is>
      </c>
      <c r="B4" s="3">
        <f>Inputs!B13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Rows</t>
        </is>
      </c>
      <c r="B5" s="3">
        <f>ROUNDUP(B3/B4,0)</f>
      </c>
      <c r="C5" t="inlineStr">
        <is>
          <t>rows</t>
        </is>
      </c>
      <c r="D5" t="inlineStr">
        <is>
          <t>Calculated from total panels and panels per row</t>
        </is>
      </c>
    </row>
    <row r="6">
      <c r="A6" t="inlineStr">
        <is>
          <t>Rail lines</t>
        </is>
      </c>
      <c r="B6" s="3">
        <f>B5*2</f>
      </c>
      <c r="C6" t="inlineStr">
        <is>
          <t>pcs</t>
        </is>
      </c>
      <c r="D6" t="inlineStr">
        <is>
          <t>Two rail lines per row</t>
        </is>
      </c>
    </row>
    <row r="7">
      <c r="A7" t="inlineStr">
        <is>
          <t>Estimated rail length</t>
        </is>
      </c>
      <c r="B7" s="3">
        <f>B3*Inputs!B15*2</f>
      </c>
      <c r="C7" t="inlineStr">
        <is>
          <t>m</t>
        </is>
      </c>
      <c r="D7" t="inlineStr">
        <is>
          <t>Total panels x rail length per panel x 2</t>
        </is>
      </c>
    </row>
    <row r="8">
      <c r="A8" t="inlineStr">
        <is>
          <t>Rail joints</t>
        </is>
      </c>
      <c r="B8" s="3">
        <f>MAX(0,ROUNDUP(B7/Inputs!B14,0)-B6)</f>
      </c>
      <c r="C8" t="inlineStr">
        <is>
          <t>pcs</t>
        </is>
      </c>
      <c r="D8" t="inlineStr">
        <is>
          <t>Estimated from rail length and stock length</t>
        </is>
      </c>
    </row>
    <row r="9">
      <c r="A9" t="inlineStr">
        <is>
          <t>Reserve</t>
        </is>
      </c>
      <c r="B9" s="3">
        <f>Inputs!B16</f>
      </c>
      <c r="C9" t="inlineStr">
        <is>
          <t>%</t>
        </is>
      </c>
      <c r="D9" t="inlineStr">
        <is>
          <t>Extra quantity reserve</t>
        </is>
      </c>
    </row>
    <row r="10">
      <c r="A10" t="inlineStr" s="1">
        <is>
          <t>Component</t>
        </is>
      </c>
      <c r="B10" t="inlineStr" s="1">
        <is>
          <t>Quantity</t>
        </is>
      </c>
      <c r="C10" t="inlineStr" s="1">
        <is>
          <t>Unit</t>
        </is>
      </c>
      <c r="D10" t="inlineStr" s="1">
        <is>
          <t>Notes</t>
        </is>
      </c>
    </row>
    <row r="11">
      <c r="A11" t="inlineStr">
        <is>
          <t>Roof hooks / seam clamps</t>
        </is>
      </c>
      <c r="B11" s="3">
        <f>ROUNDUP((SUMIFS(MountingRules!D:D,MountingRules!A:A,B2,MountingRules!B:B,"Roof hook")+SUMIFS(MountingRules!D:D,MountingRules!A:A,B2,MountingRules!B:B,"Mini rail clamp"))*B3*(1+B9/100),0)</f>
      </c>
      <c r="C11" t="inlineStr">
        <is>
          <t>pcs</t>
        </is>
      </c>
      <c r="D11" t="inlineStr">
        <is>
          <t>Hooks or seam clamps depending on roof type</t>
        </is>
      </c>
    </row>
    <row r="12">
      <c r="A12" t="inlineStr">
        <is>
          <t>Mini-rails</t>
        </is>
      </c>
      <c r="B12" s="3">
        <f>ROUNDUP(SUMIFS(MountingRules!D:D,MountingRules!A:A,B2,MountingRules!B:B,"*Mini rail*")*B3*(1+B9/100),0)</f>
      </c>
      <c r="C12" t="inlineStr">
        <is>
          <t>pcs</t>
        </is>
      </c>
      <c r="D12" t="inlineStr">
        <is>
          <t>Used for mini-rail roof systems</t>
        </is>
      </c>
    </row>
    <row r="13">
      <c r="A13" t="inlineStr">
        <is>
          <t>Rails</t>
        </is>
      </c>
      <c r="B13" s="3">
        <f>ROUNDUP(B7/Inputs!B12*(1+B9/100),0)</f>
      </c>
      <c r="C13" t="inlineStr">
        <is>
          <t>pcs</t>
        </is>
      </c>
      <c r="D13" t="inlineStr">
        <is>
          <t>Rail stock pieces</t>
        </is>
      </c>
    </row>
    <row r="14">
      <c r="A14" t="inlineStr">
        <is>
          <t>Rail connectors</t>
        </is>
      </c>
      <c r="B14" s="3">
        <f>ROUNDUP(B8*2*(1+B9/100),0)</f>
      </c>
      <c r="C14" t="inlineStr">
        <is>
          <t>pcs</t>
        </is>
      </c>
      <c r="D14" t="inlineStr">
        <is>
          <t>Usually two per rail joint</t>
        </is>
      </c>
    </row>
    <row r="15">
      <c r="A15" t="inlineStr">
        <is>
          <t>End clamps</t>
        </is>
      </c>
      <c r="B15" s="3">
        <f>ROUNDUP(B5*4*(1+B9/100),0)</f>
      </c>
      <c r="C15" t="inlineStr">
        <is>
          <t>pcs</t>
        </is>
      </c>
      <c r="D15" t="inlineStr">
        <is>
          <t>Four per row</t>
        </is>
      </c>
    </row>
    <row r="16">
      <c r="A16" t="inlineStr">
        <is>
          <t>Middle clamps</t>
        </is>
      </c>
      <c r="B16" s="3">
        <f>ROUNDUP(MAX(0,(B3-B5)*2)*(1+B9/100),0)</f>
      </c>
      <c r="C16" t="inlineStr">
        <is>
          <t>pcs</t>
        </is>
      </c>
      <c r="D16" t="inlineStr">
        <is>
          <t>Two per gap between panels in a row</t>
        </is>
      </c>
    </row>
    <row r="17">
      <c r="A17" t="inlineStr">
        <is>
          <t>Bolt sets</t>
        </is>
      </c>
      <c r="B17" s="3">
        <f>ROUNDUP((SUMIFS(MountingRules!D:D,MountingRules!A:A,B2,MountingRules!B:B,"Bolt set")+SUMIFS(MountingRules!D:D,MountingRules!A:A,B2,MountingRules!B:B,"Self-drilling screw set"))*B3*(1+B9/100),0)</f>
      </c>
      <c r="C17" t="inlineStr">
        <is>
          <t>pcs</t>
        </is>
      </c>
      <c r="D17" t="inlineStr">
        <is>
          <t>Fastener allowance</t>
        </is>
      </c>
    </row>
    <row r="18">
      <c r="A18" t="inlineStr">
        <is>
          <t>Grounding clips</t>
        </is>
      </c>
      <c r="B18" s="3">
        <f>ROUNDUP(B3*(1+B9/100),0)</f>
      </c>
      <c r="C18" t="inlineStr">
        <is>
          <t>pcs</t>
        </is>
      </c>
      <c r="D18" t="inlineStr">
        <is>
          <t>One per panel starter assumption</t>
        </is>
      </c>
    </row>
    <row r="19">
      <c r="A19" t="inlineStr">
        <is>
          <t>Cable clips</t>
        </is>
      </c>
      <c r="B19" s="3">
        <f>ROUNDUP(B3*2*(1+B9/100),0)</f>
      </c>
      <c r="C19" t="inlineStr">
        <is>
          <t>pcs</t>
        </is>
      </c>
      <c r="D19" t="inlineStr">
        <is>
          <t>Two per panel starter assumption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42" customWidth="1"/>
    <col min="3" max="3" width="14" customWidth="1"/>
    <col min="4" max="4" width="10" customWidth="1"/>
    <col min="5" max="5" width="52" customWidth="1"/>
  </cols>
  <sheetData>
    <row r="1">
      <c r="A1" t="inlineStr" s="1">
        <is>
          <t>Category</t>
        </is>
      </c>
      <c r="B1" t="inlineStr" s="1">
        <is>
          <t>Item</t>
        </is>
      </c>
      <c r="C1" t="inlineStr" s="1">
        <is>
          <t>Quantity</t>
        </is>
      </c>
      <c r="D1" t="inlineStr" s="1">
        <is>
          <t>Unit</t>
        </is>
      </c>
      <c r="E1" t="inlineStr" s="1">
        <is>
          <t>Notes</t>
        </is>
      </c>
    </row>
    <row r="2">
      <c r="A2" t="inlineStr">
        <is>
          <t>Inverter</t>
        </is>
      </c>
      <c r="B2">
        <f>Inputs!B3</f>
      </c>
      <c r="C2" s="3">
        <v>1</v>
      </c>
      <c r="D2" t="inlineStr">
        <is>
          <t>pcs</t>
        </is>
      </c>
      <c r="E2" t="inlineStr">
        <is>
          <t>Selected inverter</t>
        </is>
      </c>
    </row>
    <row r="3">
      <c r="A3" t="inlineStr">
        <is>
          <t>Solar panels</t>
        </is>
      </c>
      <c r="B3">
        <f>Inputs!B4</f>
      </c>
      <c r="C3" s="3">
        <f>Inputs!B12</f>
      </c>
      <c r="D3" t="inlineStr">
        <is>
          <t>pcs</t>
        </is>
      </c>
      <c r="E3" t="inlineStr">
        <is>
          <t>Total panel quantity</t>
        </is>
      </c>
    </row>
    <row r="4">
      <c r="A4" t="inlineStr">
        <is>
          <t>Battery</t>
        </is>
      </c>
      <c r="B4">
        <f>Inputs!B9</f>
      </c>
      <c r="C4" s="3">
        <f>Inputs!B10</f>
      </c>
      <c r="D4" t="inlineStr">
        <is>
          <t>pcs</t>
        </is>
      </c>
      <c r="E4" t="inlineStr">
        <is>
          <t>Selected battery quantity</t>
        </is>
      </c>
    </row>
    <row r="5">
      <c r="A5" t="inlineStr">
        <is>
          <t>Battery energy</t>
        </is>
      </c>
      <c r="B5">
        <f>Inputs!B9&amp;" total nominal energy"</f>
      </c>
      <c r="C5" s="3">
        <f>Results!B29</f>
      </c>
      <c r="D5" t="inlineStr">
        <is>
          <t>kWh</t>
        </is>
      </c>
      <c r="E5" t="inlineStr">
        <is>
          <t>Total nominal battery energy</t>
        </is>
      </c>
    </row>
    <row r="6">
      <c r="A6" t="inlineStr">
        <is>
          <t>Mounting</t>
        </is>
      </c>
      <c r="B6" t="inlineStr">
        <is>
          <t>Roof hooks / seam clamps</t>
        </is>
      </c>
      <c r="C6" s="3">
        <f>Mounting!B11</f>
      </c>
      <c r="D6" t="inlineStr">
        <is>
          <t>pcs</t>
        </is>
      </c>
      <c r="E6" t="inlineStr">
        <is>
          <t>From Mounting sheet</t>
        </is>
      </c>
    </row>
    <row r="7">
      <c r="A7" t="inlineStr">
        <is>
          <t>Mounting</t>
        </is>
      </c>
      <c r="B7" t="inlineStr">
        <is>
          <t>Mini-rails</t>
        </is>
      </c>
      <c r="C7" s="3">
        <f>Mounting!B12</f>
      </c>
      <c r="D7" t="inlineStr">
        <is>
          <t>pcs</t>
        </is>
      </c>
      <c r="E7" t="inlineStr">
        <is>
          <t>From Mounting sheet</t>
        </is>
      </c>
    </row>
    <row r="8">
      <c r="A8" t="inlineStr">
        <is>
          <t>Mounting</t>
        </is>
      </c>
      <c r="B8" t="inlineStr">
        <is>
          <t>Rails</t>
        </is>
      </c>
      <c r="C8" s="3">
        <f>Mounting!B13</f>
      </c>
      <c r="D8" t="inlineStr">
        <is>
          <t>pcs</t>
        </is>
      </c>
      <c r="E8" t="inlineStr">
        <is>
          <t>From Mounting sheet</t>
        </is>
      </c>
    </row>
    <row r="9">
      <c r="A9" t="inlineStr">
        <is>
          <t>Mounting</t>
        </is>
      </c>
      <c r="B9" t="inlineStr">
        <is>
          <t>Rail connectors</t>
        </is>
      </c>
      <c r="C9" s="3">
        <f>Mounting!B14</f>
      </c>
      <c r="D9" t="inlineStr">
        <is>
          <t>pcs</t>
        </is>
      </c>
      <c r="E9" t="inlineStr">
        <is>
          <t>From Mounting sheet</t>
        </is>
      </c>
    </row>
    <row r="10">
      <c r="A10" t="inlineStr">
        <is>
          <t>Mounting</t>
        </is>
      </c>
      <c r="B10" t="inlineStr">
        <is>
          <t>End clamps</t>
        </is>
      </c>
      <c r="C10" s="3">
        <f>Mounting!B15</f>
      </c>
      <c r="D10" t="inlineStr">
        <is>
          <t>pcs</t>
        </is>
      </c>
      <c r="E10" t="inlineStr">
        <is>
          <t>From Mounting sheet</t>
        </is>
      </c>
    </row>
    <row r="11">
      <c r="A11" t="inlineStr">
        <is>
          <t>Mounting</t>
        </is>
      </c>
      <c r="B11" t="inlineStr">
        <is>
          <t>Middle clamps</t>
        </is>
      </c>
      <c r="C11" s="3">
        <f>Mounting!B16</f>
      </c>
      <c r="D11" t="inlineStr">
        <is>
          <t>pcs</t>
        </is>
      </c>
      <c r="E11" t="inlineStr">
        <is>
          <t>From Mounting sheet</t>
        </is>
      </c>
    </row>
    <row r="12">
      <c r="A12" t="inlineStr">
        <is>
          <t>Mounting</t>
        </is>
      </c>
      <c r="B12" t="inlineStr">
        <is>
          <t>Bolt sets</t>
        </is>
      </c>
      <c r="C12" s="3">
        <f>Mounting!B17</f>
      </c>
      <c r="D12" t="inlineStr">
        <is>
          <t>pcs</t>
        </is>
      </c>
      <c r="E12" t="inlineStr">
        <is>
          <t>From Mounting sheet</t>
        </is>
      </c>
    </row>
    <row r="13">
      <c r="A13" t="inlineStr">
        <is>
          <t>Mounting</t>
        </is>
      </c>
      <c r="B13" t="inlineStr">
        <is>
          <t>Grounding clips</t>
        </is>
      </c>
      <c r="C13" s="3">
        <f>Mounting!B18</f>
      </c>
      <c r="D13" t="inlineStr">
        <is>
          <t>pcs</t>
        </is>
      </c>
      <c r="E13" t="inlineStr">
        <is>
          <t>From Mounting sheet</t>
        </is>
      </c>
    </row>
    <row r="14">
      <c r="A14" t="inlineStr">
        <is>
          <t>Mounting</t>
        </is>
      </c>
      <c r="B14" t="inlineStr">
        <is>
          <t>Cable clips</t>
        </is>
      </c>
      <c r="C14" s="3">
        <f>Mounting!B19</f>
      </c>
      <c r="D14" t="inlineStr">
        <is>
          <t>pcs</t>
        </is>
      </c>
      <c r="E14" t="inlineStr">
        <is>
          <t>From Mounting sheet</t>
        </is>
      </c>
    </row>
    <row r="15">
      <c r="A15" t="inlineStr">
        <is>
          <t>Protection</t>
        </is>
      </c>
      <c r="B15" t="inlineStr">
        <is>
          <t>PV cable red</t>
        </is>
      </c>
      <c r="C15" s="3">
        <f>CableProtection!B2</f>
      </c>
      <c r="D15" t="inlineStr">
        <is>
          <t>m</t>
        </is>
      </c>
      <c r="E15" t="inlineStr">
        <is>
          <t>From CableProtection sheet</t>
        </is>
      </c>
    </row>
    <row r="16">
      <c r="A16" t="inlineStr">
        <is>
          <t>Protection</t>
        </is>
      </c>
      <c r="B16" t="inlineStr">
        <is>
          <t>PV cable black</t>
        </is>
      </c>
      <c r="C16" s="3">
        <f>CableProtection!B3</f>
      </c>
      <c r="D16" t="inlineStr">
        <is>
          <t>m</t>
        </is>
      </c>
      <c r="E16" t="inlineStr">
        <is>
          <t>From CableProtection sheet</t>
        </is>
      </c>
    </row>
    <row r="17">
      <c r="A17" t="inlineStr">
        <is>
          <t>Protection</t>
        </is>
      </c>
      <c r="B17" t="inlineStr">
        <is>
          <t>PE cable</t>
        </is>
      </c>
      <c r="C17" s="3">
        <f>CableProtection!B4</f>
      </c>
      <c r="D17" t="inlineStr">
        <is>
          <t>m</t>
        </is>
      </c>
      <c r="E17" t="inlineStr">
        <is>
          <t>From CableProtection sheet</t>
        </is>
      </c>
    </row>
    <row r="18">
      <c r="A18" t="inlineStr">
        <is>
          <t>Protection</t>
        </is>
      </c>
      <c r="B18" t="inlineStr">
        <is>
          <t>DC string fuses</t>
        </is>
      </c>
      <c r="C18" s="3">
        <f>CableProtection!B5</f>
      </c>
      <c r="D18" t="inlineStr">
        <is>
          <t>pcs</t>
        </is>
      </c>
      <c r="E18" t="inlineStr">
        <is>
          <t>From CableProtection sheet</t>
        </is>
      </c>
    </row>
    <row r="19">
      <c r="A19" t="inlineStr">
        <is>
          <t>Protection</t>
        </is>
      </c>
      <c r="B19" t="inlineStr">
        <is>
          <t>DC isolator</t>
        </is>
      </c>
      <c r="C19" s="3">
        <f>CableProtection!B6</f>
      </c>
      <c r="D19" t="inlineStr">
        <is>
          <t>pcs</t>
        </is>
      </c>
      <c r="E19" t="inlineStr">
        <is>
          <t>From CableProtection sheet</t>
        </is>
      </c>
    </row>
    <row r="20">
      <c r="A20" t="inlineStr">
        <is>
          <t>Protection</t>
        </is>
      </c>
      <c r="B20" t="inlineStr">
        <is>
          <t>DC SPD Type 2</t>
        </is>
      </c>
      <c r="C20" s="3">
        <f>CableProtection!B7</f>
      </c>
      <c r="D20" t="inlineStr">
        <is>
          <t>pcs</t>
        </is>
      </c>
      <c r="E20" t="inlineStr">
        <is>
          <t>From CableProtection sheet</t>
        </is>
      </c>
    </row>
    <row r="21">
      <c r="A21" t="inlineStr">
        <is>
          <t>Protection</t>
        </is>
      </c>
      <c r="B21" t="inlineStr">
        <is>
          <t>AC breaker</t>
        </is>
      </c>
      <c r="C21" s="3">
        <f>CableProtection!B8</f>
      </c>
      <c r="D21" t="inlineStr">
        <is>
          <t>pcs</t>
        </is>
      </c>
      <c r="E21" t="inlineStr">
        <is>
          <t>From CableProtection sheet</t>
        </is>
      </c>
    </row>
    <row r="22">
      <c r="A22" t="inlineStr">
        <is>
          <t>Protection</t>
        </is>
      </c>
      <c r="B22" t="inlineStr">
        <is>
          <t>AC SPD Type 2</t>
        </is>
      </c>
      <c r="C22" s="3">
        <f>CableProtection!B9</f>
      </c>
      <c r="D22" t="inlineStr">
        <is>
          <t>pcs</t>
        </is>
      </c>
      <c r="E22" t="inlineStr">
        <is>
          <t>From CableProtection sheet</t>
        </is>
      </c>
    </row>
    <row r="23">
      <c r="A23" t="inlineStr">
        <is>
          <t>Protection</t>
        </is>
      </c>
      <c r="B23" t="inlineStr">
        <is>
          <t>AC cable</t>
        </is>
      </c>
      <c r="C23" s="3">
        <f>CableProtection!B10</f>
      </c>
      <c r="D23" t="inlineStr">
        <is>
          <t>m</t>
        </is>
      </c>
      <c r="E23" t="inlineStr">
        <is>
          <t>From CableProtection sheet</t>
        </is>
      </c>
    </row>
    <row r="24">
      <c r="A24" t="inlineStr">
        <is>
          <t>Protection</t>
        </is>
      </c>
      <c r="B24" t="inlineStr">
        <is>
          <t>Battery DC cable pair</t>
        </is>
      </c>
      <c r="C24" s="3">
        <f>CableProtection!B11</f>
      </c>
      <c r="D24" t="inlineStr">
        <is>
          <t>pair</t>
        </is>
      </c>
      <c r="E24" t="inlineStr">
        <is>
          <t>From CableProtection sheet</t>
        </is>
      </c>
    </row>
    <row r="25">
      <c r="A25" t="inlineStr">
        <is>
          <t>Protection</t>
        </is>
      </c>
      <c r="B25" t="inlineStr">
        <is>
          <t>Battery fuse or breaker</t>
        </is>
      </c>
      <c r="C25" s="3">
        <f>CableProtection!B12</f>
      </c>
      <c r="D25" t="inlineStr">
        <is>
          <t>pcs</t>
        </is>
      </c>
      <c r="E25" t="inlineStr">
        <is>
          <t>From CableProtection sheet</t>
        </is>
      </c>
    </row>
    <row r="26">
      <c r="A26" t="inlineStr">
        <is>
          <t>Sizing</t>
        </is>
      </c>
      <c r="B26" t="inlineStr">
        <is>
          <t>Recommended DC cable section</t>
        </is>
      </c>
      <c r="C26" s="3">
        <f>CableProtection!B15</f>
      </c>
      <c r="D26" t="inlineStr">
        <is>
          <t>mm2</t>
        </is>
      </c>
      <c r="E26" t="inlineStr">
        <is>
          <t>Starter sizing; verify installation method</t>
        </is>
      </c>
    </row>
    <row r="27">
      <c r="A27" t="inlineStr">
        <is>
          <t>Sizing</t>
        </is>
      </c>
      <c r="B27" t="inlineStr">
        <is>
          <t>DC voltage drop</t>
        </is>
      </c>
      <c r="C27" s="3">
        <f>CableProtection!B16</f>
      </c>
      <c r="D27" t="inlineStr">
        <is>
          <t>%</t>
        </is>
      </c>
      <c r="E27" t="inlineStr">
        <is>
          <t>Starter voltage-drop estimate</t>
        </is>
      </c>
    </row>
    <row r="28">
      <c r="A28" t="inlineStr">
        <is>
          <t>Sizing</t>
        </is>
      </c>
      <c r="B28" t="inlineStr">
        <is>
          <t>Recommended AC cable section</t>
        </is>
      </c>
      <c r="C28" s="3">
        <f>CableProtection!B19</f>
      </c>
      <c r="D28" t="inlineStr">
        <is>
          <t>mm2</t>
        </is>
      </c>
      <c r="E28" t="inlineStr">
        <is>
          <t>Starter sizing; verify installation method</t>
        </is>
      </c>
    </row>
    <row r="29">
      <c r="A29" t="inlineStr">
        <is>
          <t>Sizing</t>
        </is>
      </c>
      <c r="B29" t="inlineStr">
        <is>
          <t>AC voltage drop</t>
        </is>
      </c>
      <c r="C29" s="3">
        <f>CableProtection!B20</f>
      </c>
      <c r="D29" t="inlineStr">
        <is>
          <t>%</t>
        </is>
      </c>
      <c r="E29" t="inlineStr">
        <is>
          <t>Starter voltage-drop estimate</t>
        </is>
      </c>
    </row>
    <row r="30">
      <c r="A30" t="inlineStr">
        <is>
          <t>Sizing</t>
        </is>
      </c>
      <c r="B30" t="inlineStr">
        <is>
          <t>Recommended battery cable section</t>
        </is>
      </c>
      <c r="C30" s="3">
        <f>CableProtection!B24</f>
      </c>
      <c r="D30" t="inlineStr">
        <is>
          <t>mm2</t>
        </is>
      </c>
      <c r="E30" t="inlineStr">
        <is>
          <t>Starter sizing; verify installation method</t>
        </is>
      </c>
    </row>
    <row r="31">
      <c r="A31" t="inlineStr">
        <is>
          <t>Sizing</t>
        </is>
      </c>
      <c r="B31" t="inlineStr">
        <is>
          <t>Estimated battery current</t>
        </is>
      </c>
      <c r="C31" s="3">
        <f>CableProtection!B23</f>
      </c>
      <c r="D31" t="inlineStr">
        <is>
          <t>A</t>
        </is>
      </c>
      <c r="E31" t="inlineStr">
        <is>
          <t>Inverter power / battery voltage</t>
        </is>
      </c>
    </row>
    <row r="32">
      <c r="A32" t="inlineStr">
        <is>
          <t>Sizing</t>
        </is>
      </c>
      <c r="B32" t="inlineStr">
        <is>
          <t>Cable derating factor</t>
        </is>
      </c>
      <c r="C32" s="3">
        <f>CableProtection!B30</f>
      </c>
      <c r="D32" t="inlineStr">
        <is>
          <t>factor</t>
        </is>
      </c>
      <c r="E32" t="inlineStr">
        <is>
          <t>Grouping x ambient derating</t>
        </is>
      </c>
    </row>
    <row r="33">
      <c r="A33" t="inlineStr">
        <is>
          <t>Protection</t>
        </is>
      </c>
      <c r="B33" t="inlineStr">
        <is>
          <t>Recommended SPD type</t>
        </is>
      </c>
      <c r="C33" s="3">
        <f>CableProtection!B28</f>
      </c>
      <c r="D33" t="inlineStr">
        <is>
          <t/>
        </is>
      </c>
      <c r="E33" t="inlineStr">
        <is>
          <t>Starter selection; verify local standards</t>
        </is>
      </c>
    </row>
    <row r="34">
      <c r="A34" t="inlineStr">
        <is>
          <t>Protection</t>
        </is>
      </c>
      <c r="B34" t="inlineStr">
        <is>
          <t>AC earthing system</t>
        </is>
      </c>
      <c r="C34" s="3">
        <f>CableProtection!B29</f>
      </c>
      <c r="D34" t="inlineStr">
        <is>
          <t/>
        </is>
      </c>
      <c r="E34" t="inlineStr">
        <is>
          <t>Selected earthing checklist</t>
        </is>
      </c>
    </row>
    <row r="35">
      <c r="A35" t="inlineStr">
        <is>
          <t>Documentation</t>
        </is>
      </c>
      <c r="B35" t="inlineStr">
        <is>
          <t>Datasheet verification</t>
        </is>
      </c>
      <c r="C35">
        <v>1</v>
      </c>
      <c r="D35" t="inlineStr">
        <is>
          <t>task</t>
        </is>
      </c>
      <c r="E35" t="inlineStr">
        <is>
          <t>Required before commercial use</t>
        </is>
      </c>
    </row>
  </sheetData>
  <autoFilter ref="A1:E3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3"/>
  <sheetViews>
    <sheetView workbookViewId="0">
      <pane xSplit="0" ySplit="1" topLeftCell="A2" activePane="bottomRight" state="frozen"/>
    </sheetView>
  </sheetViews>
  <sheetFormatPr defaultRowHeight="16"/>
  <cols>
    <col min="1" max="1" width="32" customWidth="1"/>
    <col min="2" max="2" width="16" customWidth="1"/>
    <col min="3" max="3" width="10" customWidth="1"/>
    <col min="4" max="4" width="64" customWidth="1"/>
  </cols>
  <sheetData>
    <row r="1">
      <c r="A1" t="inlineStr" s="1">
        <is>
          <t>Cable / Protection item</t>
        </is>
      </c>
      <c r="B1" t="inlineStr" s="1">
        <is>
          <t>Quantity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PV cable red</t>
        </is>
      </c>
      <c r="B2" s="3">
        <f>Inputs!B17</f>
      </c>
      <c r="C2" t="inlineStr">
        <is>
          <t>m</t>
        </is>
      </c>
      <c r="D2" t="inlineStr">
        <is>
          <t>DC cable route length</t>
        </is>
      </c>
    </row>
    <row r="3">
      <c r="A3" t="inlineStr">
        <is>
          <t>PV cable black</t>
        </is>
      </c>
      <c r="B3" s="3">
        <f>Inputs!B17</f>
      </c>
      <c r="C3" t="inlineStr">
        <is>
          <t>m</t>
        </is>
      </c>
      <c r="D3" t="inlineStr">
        <is>
          <t>DC cable route length</t>
        </is>
      </c>
    </row>
    <row r="4">
      <c r="A4" t="inlineStr">
        <is>
          <t>PE cable</t>
        </is>
      </c>
      <c r="B4" s="3">
        <f>Inputs!B19</f>
      </c>
      <c r="C4" t="inlineStr">
        <is>
          <t>m</t>
        </is>
      </c>
      <c r="D4" t="inlineStr">
        <is>
          <t>Grounding route length</t>
        </is>
      </c>
    </row>
    <row r="5">
      <c r="A5" t="inlineStr">
        <is>
          <t>DC string fuses</t>
        </is>
      </c>
      <c r="B5" s="3">
        <f>IF(Inputs!B8&gt;1,Inputs!B8*2,0)</f>
      </c>
      <c r="C5" t="inlineStr">
        <is>
          <t>pcs</t>
        </is>
      </c>
      <c r="D5" t="inlineStr">
        <is>
          <t>Used when strings per MPPT &gt; 1</t>
        </is>
      </c>
    </row>
    <row r="6">
      <c r="A6" t="inlineStr">
        <is>
          <t>DC isolator</t>
        </is>
      </c>
      <c r="B6" s="3">
        <f>1</f>
      </c>
      <c r="C6" t="inlineStr">
        <is>
          <t>pcs</t>
        </is>
      </c>
      <c r="D6" t="inlineStr">
        <is>
          <t>Starter quantity</t>
        </is>
      </c>
    </row>
    <row r="7">
      <c r="A7" t="inlineStr">
        <is>
          <t>DC SPD Type 2</t>
        </is>
      </c>
      <c r="B7" s="3">
        <f>1</f>
      </c>
      <c r="C7" t="inlineStr">
        <is>
          <t>pcs</t>
        </is>
      </c>
      <c r="D7" t="inlineStr">
        <is>
          <t>Starter quantity</t>
        </is>
      </c>
    </row>
    <row r="8">
      <c r="A8" t="inlineStr">
        <is>
          <t>AC breaker</t>
        </is>
      </c>
      <c r="B8" s="3">
        <f>1</f>
      </c>
      <c r="C8" t="inlineStr">
        <is>
          <t>pcs</t>
        </is>
      </c>
      <c r="D8" t="inlineStr">
        <is>
          <t>Starter quantity; rating must be selected</t>
        </is>
      </c>
    </row>
    <row r="9">
      <c r="A9" t="inlineStr">
        <is>
          <t>AC SPD Type 2</t>
        </is>
      </c>
      <c r="B9" s="3">
        <f>1</f>
      </c>
      <c r="C9" t="inlineStr">
        <is>
          <t>pcs</t>
        </is>
      </c>
      <c r="D9" t="inlineStr">
        <is>
          <t>Starter quantity</t>
        </is>
      </c>
    </row>
    <row r="10">
      <c r="A10" t="inlineStr">
        <is>
          <t>AC cable</t>
        </is>
      </c>
      <c r="B10" s="3">
        <f>Inputs!B18</f>
      </c>
      <c r="C10" t="inlineStr">
        <is>
          <t>m</t>
        </is>
      </c>
      <c r="D10" t="inlineStr">
        <is>
          <t>AC cable route length</t>
        </is>
      </c>
    </row>
    <row r="11">
      <c r="A11" t="inlineStr">
        <is>
          <t>Battery DC cable pair</t>
        </is>
      </c>
      <c r="B11" s="3">
        <f>1</f>
      </c>
      <c r="C11" t="inlineStr">
        <is>
          <t>pair</t>
        </is>
      </c>
      <c r="D11" t="inlineStr">
        <is>
          <t>Starter quantity</t>
        </is>
      </c>
    </row>
    <row r="12">
      <c r="A12" t="inlineStr">
        <is>
          <t>Battery fuse or breaker</t>
        </is>
      </c>
      <c r="B12" s="3">
        <f>1</f>
      </c>
      <c r="C12" t="inlineStr">
        <is>
          <t>pcs</t>
        </is>
      </c>
      <c r="D12" t="inlineStr">
        <is>
          <t>Starter quantity; rating must be selected</t>
        </is>
      </c>
    </row>
    <row r="13">
      <c r="A13" t="inlineStr">
        <is>
          <t>Protection design status</t>
        </is>
      </c>
      <c r="B13" s="3">
        <f>"VERIFY"</f>
      </c>
      <c r="C13" t="inlineStr">
        <is>
          <t/>
        </is>
      </c>
      <c r="D13" t="inlineStr">
        <is>
          <t>VERIFY until ratings and cable sections are selected</t>
        </is>
      </c>
    </row>
    <row r="14"/>
    <row r="15">
      <c r="A15" t="inlineStr">
        <is>
          <t>Sizing result</t>
        </is>
      </c>
      <c r="B15" s="3">
        <f>MAX(4,LOOKUP((Results!B12*Inputs!B8)/B30,CableSizing!B:B,CableSizing!A:A))</f>
      </c>
      <c r="C15" t="inlineStr">
        <is>
          <t>Unit</t>
        </is>
      </c>
      <c r="D15" t="inlineStr">
        <is>
          <t>Formula / meaning</t>
        </is>
      </c>
    </row>
    <row r="16">
      <c r="A16" t="inlineStr">
        <is>
          <t>Recommended DC cable section</t>
        </is>
      </c>
      <c r="B16" s="3">
        <f>ROUND(2*Inputs!B17*Results!B12*Inputs!B8*0.0175/(B15*Results!B17)*100,2)</f>
      </c>
      <c r="C16" t="inlineStr">
        <is>
          <t>mm2</t>
        </is>
      </c>
      <c r="D16" t="inlineStr">
        <is>
          <t>Based on PV operating current</t>
        </is>
      </c>
    </row>
    <row r="17">
      <c r="A17" t="inlineStr">
        <is>
          <t>DC voltage drop</t>
        </is>
      </c>
      <c r="B17" s="3">
        <f>LOOKUP(INDEX(Panels!H:H,MATCH(Inputs!B4,Panels!C:C,0))*1.25,{0,16,20,25,32},{16,20,25,32,40})</f>
      </c>
      <c r="C17" t="inlineStr">
        <is>
          <t>%</t>
        </is>
      </c>
      <c r="D17" t="inlineStr">
        <is>
          <t>2 x length x current x copper resistance / section / voltage</t>
        </is>
      </c>
    </row>
    <row r="18">
      <c r="A18" t="inlineStr">
        <is>
          <t>Suggested DC fuse rating</t>
        </is>
      </c>
      <c r="B18" s="3">
        <f>ROUND(INDEX(Inverters!E:E,MATCH(Inputs!B3,Inverters!C:C,0))/IF(INDEX(Inverters!D:D,MATCH(Inputs!B3,Inverters!C:C,0))="three-phase",692.8,230),1)</f>
      </c>
      <c r="C18" t="inlineStr">
        <is>
          <t>A</t>
        </is>
      </c>
      <c r="D18" t="inlineStr">
        <is>
          <t>Based on string short-circuit current</t>
        </is>
      </c>
    </row>
    <row r="19">
      <c r="A19" t="inlineStr">
        <is>
          <t>Estimated AC current</t>
        </is>
      </c>
      <c r="B19" s="3">
        <f>MAX(2.5,LOOKUP(B18/B30,CableSizing!B:B,CableSizing!A:A))</f>
      </c>
      <c r="C19" t="inlineStr">
        <is>
          <t>A</t>
        </is>
      </c>
      <c r="D19" t="inlineStr">
        <is>
          <t>Based on inverter AC power and phase</t>
        </is>
      </c>
    </row>
    <row r="20">
      <c r="A20" t="inlineStr">
        <is>
          <t>Recommended AC cable section</t>
        </is>
      </c>
      <c r="B20" s="3">
        <f>ROUND(IF(INDEX(Inverters!D:D,MATCH(Inputs!B3,Inverters!C:C,0))="three-phase",1.732*Inputs!B18*B18*0.0175/(B19*400)*100,2*Inputs!B18*B18*0.0175/(B19*230)*100),2)</f>
      </c>
      <c r="C20" t="inlineStr">
        <is>
          <t>mm2</t>
        </is>
      </c>
      <c r="D20" t="inlineStr">
        <is>
          <t>Based on estimated AC current</t>
        </is>
      </c>
    </row>
    <row r="21">
      <c r="A21" t="inlineStr">
        <is>
          <t>AC voltage drop</t>
        </is>
      </c>
      <c r="B21" s="3">
        <f>LOOKUP(B18*1.25,{0,16,20,25,32,40,50,63,80,100,125,160},{16,20,25,32,40,50,63,80,100,125,160,200})</f>
      </c>
      <c r="C21" t="inlineStr">
        <is>
          <t>%</t>
        </is>
      </c>
      <c r="D21" t="inlineStr">
        <is>
          <t>Starter single/three-phase voltage-drop estimate</t>
        </is>
      </c>
    </row>
    <row r="22">
      <c r="A22" t="inlineStr">
        <is>
          <t>Suggested AC breaker rating</t>
        </is>
      </c>
      <c r="B22" t="inlineStr" s="3">
        <is>
          <t/>
        </is>
      </c>
      <c r="C22" t="inlineStr">
        <is>
          <t>A</t>
        </is>
      </c>
      <c r="D22" t="inlineStr">
        <is>
          <t>Next common rating above AC current</t>
        </is>
      </c>
    </row>
    <row r="23">
      <c r="A23" t="inlineStr">
        <is>
          <t>Estimated battery current</t>
        </is>
      </c>
      <c r="B23" s="3">
        <f>ROUND(INDEX(Inverters!E:E,MATCH(Inputs!B3,Inverters!C:C,0))/INDEX(Batteries!G:G,MATCH(Inputs!B9,Batteries!C:C,0)),1)</f>
      </c>
      <c r="C23" t="inlineStr">
        <is>
          <t>A</t>
        </is>
      </c>
      <c r="D23" t="inlineStr">
        <is>
          <t>AC power / battery nominal voltage</t>
        </is>
      </c>
    </row>
    <row r="24">
      <c r="A24" t="inlineStr">
        <is>
          <t>Recommended battery cable section</t>
        </is>
      </c>
      <c r="B24" s="3">
        <f>MAX(16,LOOKUP(B23/B30,CableSizing!B:B,CableSizing!A:A))</f>
      </c>
      <c r="C24" t="inlineStr">
        <is>
          <t>mm2</t>
        </is>
      </c>
      <c r="D24" t="inlineStr">
        <is>
          <t>Based on estimated battery current</t>
        </is>
      </c>
    </row>
    <row r="25">
      <c r="A25" t="inlineStr">
        <is>
          <t>Suggested battery breaker rating</t>
        </is>
      </c>
      <c r="B25" s="3">
        <f>LOOKUP(B23*1.25,{0,63,80,100,125,160,200,250},{63,80,100,125,160,200,250,315})</f>
      </c>
      <c r="C25" t="inlineStr">
        <is>
          <t>A</t>
        </is>
      </c>
      <c r="D25" t="inlineStr">
        <is>
          <t>Next common rating above battery current</t>
        </is>
      </c>
    </row>
    <row r="26">
      <c r="A26" t="inlineStr">
        <is>
          <t>Sizing status</t>
        </is>
      </c>
      <c r="B26" s="3">
        <f>"VERIFY"</f>
      </c>
      <c r="C26" t="inlineStr">
        <is>
          <t/>
        </is>
      </c>
      <c r="D26" t="inlineStr">
        <is>
          <t>VERIFY until local standards and datasheets are checked</t>
        </is>
      </c>
    </row>
    <row r="27"/>
    <row r="28">
      <c r="A28" t="inlineStr">
        <is>
          <t>Advanced protection result</t>
        </is>
      </c>
      <c r="B28" s="3">
        <f>IF(Inputs!B23="External LPS","Type 1+2 DC/AC SPD",IF(Inputs!B23="Overhead supply","Type 1+2 AC SPD + Type 2 DC SPD",IF(Inputs!B23="Long outdoor DC route","Type 2 DC SPD near inverter and array","Type 2 DC/AC SPD")))</f>
      </c>
      <c r="C28" t="inlineStr">
        <is>
          <t>Unit</t>
        </is>
      </c>
      <c r="D28" t="inlineStr">
        <is>
          <t>Formula / meaning</t>
        </is>
      </c>
    </row>
    <row r="29">
      <c r="A29" t="inlineStr">
        <is>
          <t>Recommended SPD type</t>
        </is>
      </c>
      <c r="B29" s="3">
        <f>Inputs!B24</f>
      </c>
      <c r="C29" t="inlineStr">
        <is>
          <t/>
        </is>
      </c>
      <c r="D29" t="inlineStr">
        <is>
          <t>Based on selected lightning protection condition</t>
        </is>
      </c>
    </row>
    <row r="30">
      <c r="A30" t="inlineStr">
        <is>
          <t>AC earthing system</t>
        </is>
      </c>
      <c r="B30" s="3">
        <f>MAX(0.1,Inputs!B21*Inputs!B22)</f>
      </c>
      <c r="C30" t="inlineStr">
        <is>
          <t/>
        </is>
      </c>
      <c r="D30" t="inlineStr">
        <is>
          <t>Selected earthing system checklist</t>
        </is>
      </c>
    </row>
    <row r="31">
      <c r="A31" t="inlineStr">
        <is>
          <t>Combined cable derating factor</t>
        </is>
      </c>
      <c r="B31" s="3">
        <f>INDEX(CableSizing!B:B,MATCH(B15,CableSizing!A:A,0))*B30</f>
      </c>
      <c r="C31" t="inlineStr">
        <is>
          <t>factor</t>
        </is>
      </c>
      <c r="D31" t="inlineStr">
        <is>
          <t>Grouping derating x ambient derating</t>
        </is>
      </c>
    </row>
    <row r="32">
      <c r="A32" t="inlineStr">
        <is>
          <t>Derated DC cable ampacity</t>
        </is>
      </c>
      <c r="B32" s="3">
        <f>"VERIFY"</f>
      </c>
      <c r="C32" t="inlineStr">
        <is>
          <t>A</t>
        </is>
      </c>
      <c r="D32" t="inlineStr">
        <is>
          <t>Selected DC cable ampacity after derating</t>
        </is>
      </c>
    </row>
    <row r="33">
      <c r="A33" t="inlineStr">
        <is>
          <t>Advanced protection status</t>
        </is>
      </c>
      <c r="B33" t="inlineStr">
        <is>
          <t/>
        </is>
      </c>
      <c r="C33" t="inlineStr">
        <is>
          <t/>
        </is>
      </c>
      <c r="D33" t="inlineStr">
        <is>
          <t>VERIFY until local standards are checked</t>
        </is>
      </c>
    </row>
  </sheetData>
  <conditionalFormatting sqref="B1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conditionalFormatting sqref="B2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conditionalFormatting sqref="B3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9"/>
  <sheetViews>
    <sheetView workbookViewId="0">
      <pane xSplit="0" ySplit="1" topLeftCell="A2" activePane="bottomRight" state="frozen"/>
    </sheetView>
  </sheetViews>
  <sheetFormatPr defaultRowHeight="16"/>
  <cols>
    <col min="1" max="1" width="26" customWidth="1"/>
    <col min="2" max="2" width="28" customWidth="1"/>
    <col min="3" max="3" width="24" customWidth="1"/>
    <col min="4" max="4" width="22" customWidth="1"/>
    <col min="5" max="5" width="14" customWidth="1"/>
    <col min="6" max="6" width="14" customWidth="1"/>
    <col min="7" max="7" width="16" customWidth="1"/>
    <col min="8" max="8" width="16" customWidth="1"/>
    <col min="9" max="9" width="14" customWidth="1"/>
    <col min="10" max="10" width="14" customWidth="1"/>
    <col min="11" max="11" width="14" customWidth="1"/>
    <col min="12" max="12" width="14" customWidth="1"/>
    <col min="13" max="13" width="68" customWidth="1"/>
  </cols>
  <sheetData>
    <row r="1">
      <c r="A1" t="inlineStr" s="1">
        <is>
          <t>Scenario</t>
        </is>
      </c>
      <c r="B1" t="inlineStr" s="1">
        <is>
          <t>Inverter</t>
        </is>
      </c>
      <c r="C1" t="inlineStr" s="1">
        <is>
          <t>Panel</t>
        </is>
      </c>
      <c r="D1" t="inlineStr" s="1">
        <is>
          <t>Battery</t>
        </is>
      </c>
      <c r="E1" t="inlineStr" s="1">
        <is>
          <t>Panels/string</t>
        </is>
      </c>
      <c r="F1" t="inlineStr" s="1">
        <is>
          <t>Strings/MPPT</t>
        </is>
      </c>
      <c r="G1" t="inlineStr" s="1">
        <is>
          <t>Cold string Voc</t>
        </is>
      </c>
      <c r="H1" t="inlineStr" s="1">
        <is>
          <t>Hot string Vmp</t>
        </is>
      </c>
      <c r="I1" t="inlineStr" s="1">
        <is>
          <t>PV voltage</t>
        </is>
      </c>
      <c r="J1" t="inlineStr" s="1">
        <is>
          <t>PV current</t>
        </is>
      </c>
      <c r="K1" t="inlineStr" s="1">
        <is>
          <t>Battery</t>
        </is>
      </c>
      <c r="L1" t="inlineStr" s="1">
        <is>
          <t>Overall</t>
        </is>
      </c>
      <c r="M1" t="inlineStr" s="1">
        <is>
          <t>Notes</t>
        </is>
      </c>
    </row>
    <row r="2">
      <c r="A2" t="inlineStr">
        <is>
          <t>Residential 5kW Deye</t>
        </is>
      </c>
      <c r="B2" t="inlineStr">
        <is>
          <t>SUN-5K-SG03LP1-EU</t>
        </is>
      </c>
      <c r="C2" t="inlineStr">
        <is>
          <t>JKM575N-72HL4-V</t>
        </is>
      </c>
      <c r="D2" t="inlineStr">
        <is>
          <t>US5000</t>
        </is>
      </c>
      <c r="E2">
        <v>8</v>
      </c>
      <c r="F2">
        <v>1</v>
      </c>
      <c r="G2" s="3">
        <f>ROUND(INDEX(Panels!G:G,MATCH(C2,Panels!C:C,0))*(1+(INDEX(Panels!J:J,MATCH(C2,Panels!C:C,0))/100)*(Inputs!B5-25))*E2,1)</f>
      </c>
      <c r="H2" s="3">
        <f>ROUND(INDEX(Panels!E:E,MATCH(C2,Panels!C:C,0))*(1+(INDEX(Panels!J:J,MATCH(C2,Panels!C:C,0))/100)*(Inputs!B6-25))*E2,1)</f>
      </c>
      <c r="I2" s="3">
        <f>IF(OR(INDEX(Inverters!Q:Q,MATCH(B2,Inverters!C:C,0))="model_only_needs_datasheet",INDEX(Panels!O:O,MATCH(C2,Panels!C:C,0))="model_only_needs_datasheet"),"VERIFY",IF(AND(G2&lt;INDEX(Inverters!G:G,MATCH(B2,Inverters!C:C,0)),H2&gt;=INDEX(Inverters!I:I,MATCH(B2,Inverters!C:C,0)),H2&lt;=INDEX(Inverters!J:J,MATCH(B2,Inverters!C:C,0))),"PASS","FAIL"))</f>
      </c>
      <c r="J2" s="3">
        <f>IF(OR(INDEX(Inverters!Q:Q,MATCH(B2,Inverters!C:C,0))="model_only_needs_datasheet",INDEX(Panels!O:O,MATCH(C2,Panels!C:C,0))="model_only_needs_datasheet"),"VERIFY",IF(INDEX(Panels!F:F,MATCH(C2,Panels!C:C,0))*F2&lt;=INDEX(Inverters!M:M,MATCH(B2,Inverters!C:C,0)),"PASS","FAIL"))</f>
      </c>
      <c r="K2" s="3">
        <f>IF(ISNUMBER(SEARCH("Deye",INDEX(Batteries!M:M,MATCH(D2,Batteries!C:C,0)))),"PASS","VERIFY")</f>
      </c>
      <c r="L2" s="3">
        <f>IF(OR(I2="FAIL",J2="FAIL"),"FAIL",IF(OR(I2="VERIFY",J2="VERIFY",K2="VERIFY",INDEX(Inverters!Q:Q,MATCH(B2,Inverters!C:C,0))="model_only_needs_datasheet",INDEX(Panels!O:O,MATCH(C2,Panels!C:C,0))="model_only_needs_datasheet",INDEX(Batteries!N:N,MATCH(D2,Batteries!C:C,0))="model_only_needs_datasheet"),"VERIFY","PASS"))</f>
      </c>
      <c r="M2" t="inlineStr">
        <is>
          <t>Starter Deye LV scenario.</t>
        </is>
      </c>
    </row>
    <row r="3">
      <c r="A3" t="inlineStr">
        <is>
          <t>Residential 8kW Deye</t>
        </is>
      </c>
      <c r="B3" t="inlineStr">
        <is>
          <t>SUN-8K-SG01LP1-EU</t>
        </is>
      </c>
      <c r="C3" t="inlineStr">
        <is>
          <t>JKM575N-72HL4-V</t>
        </is>
      </c>
      <c r="D3" t="inlineStr">
        <is>
          <t>US5000</t>
        </is>
      </c>
      <c r="E3">
        <v>8</v>
      </c>
      <c r="F3">
        <v>2</v>
      </c>
      <c r="G3" s="3">
        <f>ROUND(INDEX(Panels!G:G,MATCH(C3,Panels!C:C,0))*(1+(INDEX(Panels!J:J,MATCH(C3,Panels!C:C,0))/100)*(Inputs!B5-25))*E3,1)</f>
      </c>
      <c r="H3" s="3">
        <f>ROUND(INDEX(Panels!E:E,MATCH(C3,Panels!C:C,0))*(1+(INDEX(Panels!J:J,MATCH(C3,Panels!C:C,0))/100)*(Inputs!B6-25))*E3,1)</f>
      </c>
      <c r="I3" s="3">
        <f>IF(OR(INDEX(Inverters!Q:Q,MATCH(B3,Inverters!C:C,0))="model_only_needs_datasheet",INDEX(Panels!O:O,MATCH(C3,Panels!C:C,0))="model_only_needs_datasheet"),"VERIFY",IF(AND(G3&lt;INDEX(Inverters!G:G,MATCH(B3,Inverters!C:C,0)),H3&gt;=INDEX(Inverters!I:I,MATCH(B3,Inverters!C:C,0)),H3&lt;=INDEX(Inverters!J:J,MATCH(B3,Inverters!C:C,0))),"PASS","FAIL"))</f>
      </c>
      <c r="J3" s="3">
        <f>IF(OR(INDEX(Inverters!Q:Q,MATCH(B3,Inverters!C:C,0))="model_only_needs_datasheet",INDEX(Panels!O:O,MATCH(C3,Panels!C:C,0))="model_only_needs_datasheet"),"VERIFY",IF(INDEX(Panels!F:F,MATCH(C3,Panels!C:C,0))*F3&lt;=INDEX(Inverters!M:M,MATCH(B3,Inverters!C:C,0)),"PASS","FAIL"))</f>
      </c>
      <c r="K3" s="3">
        <f>IF(ISNUMBER(SEARCH("Deye",INDEX(Batteries!M:M,MATCH(D3,Batteries!C:C,0)))),"PASS","VERIFY")</f>
      </c>
      <c r="L3" s="3">
        <f>IF(OR(I3="FAIL",J3="FAIL"),"FAIL",IF(OR(I3="VERIFY",J3="VERIFY",K3="VERIFY",INDEX(Inverters!Q:Q,MATCH(B3,Inverters!C:C,0))="model_only_needs_datasheet",INDEX(Panels!O:O,MATCH(C3,Panels!C:C,0))="model_only_needs_datasheet",INDEX(Batteries!N:N,MATCH(D3,Batteries!C:C,0))="model_only_needs_datasheet"),"VERIFY","PASS"))</f>
      </c>
      <c r="M3" t="inlineStr">
        <is>
          <t>Starter two-string Deye LV scenario.</t>
        </is>
      </c>
    </row>
    <row r="4">
      <c r="A4" t="inlineStr">
        <is>
          <t>Residential 6kW Deye</t>
        </is>
      </c>
      <c r="B4" t="inlineStr">
        <is>
          <t>SUN-6K-SG03LP1-EU</t>
        </is>
      </c>
      <c r="C4" t="inlineStr">
        <is>
          <t>LR5-72HTH-580M</t>
        </is>
      </c>
      <c r="D4" t="inlineStr">
        <is>
          <t>BX51100</t>
        </is>
      </c>
      <c r="E4">
        <v>8</v>
      </c>
      <c r="F4">
        <v>1</v>
      </c>
      <c r="G4" s="3">
        <f>ROUND(INDEX(Panels!G:G,MATCH(C4,Panels!C:C,0))*(1+(INDEX(Panels!J:J,MATCH(C4,Panels!C:C,0))/100)*(Inputs!B5-25))*E4,1)</f>
      </c>
      <c r="H4" s="3">
        <f>ROUND(INDEX(Panels!E:E,MATCH(C4,Panels!C:C,0))*(1+(INDEX(Panels!J:J,MATCH(C4,Panels!C:C,0))/100)*(Inputs!B6-25))*E4,1)</f>
      </c>
      <c r="I4" s="3">
        <f>IF(OR(INDEX(Inverters!Q:Q,MATCH(B4,Inverters!C:C,0))="model_only_needs_datasheet",INDEX(Panels!O:O,MATCH(C4,Panels!C:C,0))="model_only_needs_datasheet"),"VERIFY",IF(AND(G4&lt;INDEX(Inverters!G:G,MATCH(B4,Inverters!C:C,0)),H4&gt;=INDEX(Inverters!I:I,MATCH(B4,Inverters!C:C,0)),H4&lt;=INDEX(Inverters!J:J,MATCH(B4,Inverters!C:C,0))),"PASS","FAIL"))</f>
      </c>
      <c r="J4" s="3">
        <f>IF(OR(INDEX(Inverters!Q:Q,MATCH(B4,Inverters!C:C,0))="model_only_needs_datasheet",INDEX(Panels!O:O,MATCH(C4,Panels!C:C,0))="model_only_needs_datasheet"),"VERIFY",IF(INDEX(Panels!F:F,MATCH(C4,Panels!C:C,0))*F4&lt;=INDEX(Inverters!M:M,MATCH(B4,Inverters!C:C,0)),"PASS","FAIL"))</f>
      </c>
      <c r="K4" s="3">
        <f>IF(ISNUMBER(SEARCH("Deye",INDEX(Batteries!M:M,MATCH(D4,Batteries!C:C,0)))),"PASS","VERIFY")</f>
      </c>
      <c r="L4" s="3">
        <f>IF(OR(I4="FAIL",J4="FAIL"),"FAIL",IF(OR(I4="VERIFY",J4="VERIFY",K4="VERIFY",INDEX(Inverters!Q:Q,MATCH(B4,Inverters!C:C,0))="model_only_needs_datasheet",INDEX(Panels!O:O,MATCH(C4,Panels!C:C,0))="model_only_needs_datasheet",INDEX(Batteries!N:N,MATCH(D4,Batteries!C:C,0))="model_only_needs_datasheet"),"VERIFY","PASS"))</f>
      </c>
      <c r="M4" t="inlineStr">
        <is>
          <t>Starter LONGi plus Dyness scenario.</t>
        </is>
      </c>
    </row>
    <row r="5">
      <c r="A5" t="inlineStr">
        <is>
          <t>Commercial 10kW Deye</t>
        </is>
      </c>
      <c r="B5" t="inlineStr">
        <is>
          <t>SUN-10K-SG02LP1-EU-AM3-P</t>
        </is>
      </c>
      <c r="C5" t="inlineStr">
        <is>
          <t>TSM-NEG18R.28-500</t>
        </is>
      </c>
      <c r="D5" t="inlineStr">
        <is>
          <t>SE-G5.1</t>
        </is>
      </c>
      <c r="E5">
        <v>8</v>
      </c>
      <c r="F5">
        <v>1</v>
      </c>
      <c r="G5" s="3">
        <f>ROUND(INDEX(Panels!G:G,MATCH(C5,Panels!C:C,0))*(1+(INDEX(Panels!J:J,MATCH(C5,Panels!C:C,0))/100)*(Inputs!B5-25))*E5,1)</f>
      </c>
      <c r="H5" s="3">
        <f>ROUND(INDEX(Panels!E:E,MATCH(C5,Panels!C:C,0))*(1+(INDEX(Panels!J:J,MATCH(C5,Panels!C:C,0))/100)*(Inputs!B6-25))*E5,1)</f>
      </c>
      <c r="I5" s="3">
        <f>IF(OR(INDEX(Inverters!Q:Q,MATCH(B5,Inverters!C:C,0))="model_only_needs_datasheet",INDEX(Panels!O:O,MATCH(C5,Panels!C:C,0))="model_only_needs_datasheet"),"VERIFY",IF(AND(G5&lt;INDEX(Inverters!G:G,MATCH(B5,Inverters!C:C,0)),H5&gt;=INDEX(Inverters!I:I,MATCH(B5,Inverters!C:C,0)),H5&lt;=INDEX(Inverters!J:J,MATCH(B5,Inverters!C:C,0))),"PASS","FAIL"))</f>
      </c>
      <c r="J5" s="3">
        <f>IF(OR(INDEX(Inverters!Q:Q,MATCH(B5,Inverters!C:C,0))="model_only_needs_datasheet",INDEX(Panels!O:O,MATCH(C5,Panels!C:C,0))="model_only_needs_datasheet"),"VERIFY",IF(INDEX(Panels!F:F,MATCH(C5,Panels!C:C,0))*F5&lt;=INDEX(Inverters!M:M,MATCH(B5,Inverters!C:C,0)),"PASS","FAIL"))</f>
      </c>
      <c r="K5" s="3">
        <f>IF(ISNUMBER(SEARCH("Deye",INDEX(Batteries!M:M,MATCH(D5,Batteries!C:C,0)))),"PASS","VERIFY")</f>
      </c>
      <c r="L5" s="3">
        <f>IF(OR(I5="FAIL",J5="FAIL"),"FAIL",IF(OR(I5="VERIFY",J5="VERIFY",K5="VERIFY",INDEX(Inverters!Q:Q,MATCH(B5,Inverters!C:C,0))="model_only_needs_datasheet",INDEX(Panels!O:O,MATCH(C5,Panels!C:C,0))="model_only_needs_datasheet",INDEX(Batteries!N:N,MATCH(D5,Batteries!C:C,0))="model_only_needs_datasheet"),"VERIFY","PASS"))</f>
      </c>
      <c r="M5" t="inlineStr">
        <is>
          <t>Model-only scenario; datasheet values pending.</t>
        </is>
      </c>
    </row>
    <row r="6">
      <c r="A6" t="inlineStr">
        <is>
          <t>Hybrid 12kW Deye</t>
        </is>
      </c>
      <c r="B6" t="inlineStr">
        <is>
          <t>SUN-12K-SG02LP1-EU-AM3-P</t>
        </is>
      </c>
      <c r="C6" t="inlineStr">
        <is>
          <t>JAM54D40-440/LB</t>
        </is>
      </c>
      <c r="D6" t="inlineStr">
        <is>
          <t>SE-G5.1</t>
        </is>
      </c>
      <c r="E6">
        <v>8</v>
      </c>
      <c r="F6">
        <v>1</v>
      </c>
      <c r="G6" s="3">
        <f>ROUND(INDEX(Panels!G:G,MATCH(C6,Panels!C:C,0))*(1+(INDEX(Panels!J:J,MATCH(C6,Panels!C:C,0))/100)*(Inputs!B5-25))*E6,1)</f>
      </c>
      <c r="H6" s="3">
        <f>ROUND(INDEX(Panels!E:E,MATCH(C6,Panels!C:C,0))*(1+(INDEX(Panels!J:J,MATCH(C6,Panels!C:C,0))/100)*(Inputs!B6-25))*E6,1)</f>
      </c>
      <c r="I6" s="3">
        <f>IF(OR(INDEX(Inverters!Q:Q,MATCH(B6,Inverters!C:C,0))="model_only_needs_datasheet",INDEX(Panels!O:O,MATCH(C6,Panels!C:C,0))="model_only_needs_datasheet"),"VERIFY",IF(AND(G6&lt;INDEX(Inverters!G:G,MATCH(B6,Inverters!C:C,0)),H6&gt;=INDEX(Inverters!I:I,MATCH(B6,Inverters!C:C,0)),H6&lt;=INDEX(Inverters!J:J,MATCH(B6,Inverters!C:C,0))),"PASS","FAIL"))</f>
      </c>
      <c r="J6" s="3">
        <f>IF(OR(INDEX(Inverters!Q:Q,MATCH(B6,Inverters!C:C,0))="model_only_needs_datasheet",INDEX(Panels!O:O,MATCH(C6,Panels!C:C,0))="model_only_needs_datasheet"),"VERIFY",IF(INDEX(Panels!F:F,MATCH(C6,Panels!C:C,0))*F6&lt;=INDEX(Inverters!M:M,MATCH(B6,Inverters!C:C,0)),"PASS","FAIL"))</f>
      </c>
      <c r="K6" s="3">
        <f>IF(ISNUMBER(SEARCH("Deye",INDEX(Batteries!M:M,MATCH(D6,Batteries!C:C,0)))),"PASS","VERIFY")</f>
      </c>
      <c r="L6" s="3">
        <f>IF(OR(I6="FAIL",J6="FAIL"),"FAIL",IF(OR(I6="VERIFY",J6="VERIFY",K6="VERIFY",INDEX(Inverters!Q:Q,MATCH(B6,Inverters!C:C,0))="model_only_needs_datasheet",INDEX(Panels!O:O,MATCH(C6,Panels!C:C,0))="model_only_needs_datasheet",INDEX(Batteries!N:N,MATCH(D6,Batteries!C:C,0))="model_only_needs_datasheet"),"VERIFY","PASS"))</f>
      </c>
      <c r="M6" t="inlineStr">
        <is>
          <t>Model-only scenario; datasheet values pending.</t>
        </is>
      </c>
    </row>
    <row r="7">
      <c r="A7" t="inlineStr">
        <is>
          <t>Growatt hybrid</t>
        </is>
      </c>
      <c r="B7" t="inlineStr">
        <is>
          <t>SPH 10000TL3 BH-UP</t>
        </is>
      </c>
      <c r="C7" t="inlineStr">
        <is>
          <t>JKM575N-72HL4-V</t>
        </is>
      </c>
      <c r="D7" t="inlineStr">
        <is>
          <t>US5000</t>
        </is>
      </c>
      <c r="E7">
        <v>8</v>
      </c>
      <c r="F7">
        <v>1</v>
      </c>
      <c r="G7" s="3">
        <f>ROUND(INDEX(Panels!G:G,MATCH(C7,Panels!C:C,0))*(1+(INDEX(Panels!J:J,MATCH(C7,Panels!C:C,0))/100)*(Inputs!B5-25))*E7,1)</f>
      </c>
      <c r="H7" s="3">
        <f>ROUND(INDEX(Panels!E:E,MATCH(C7,Panels!C:C,0))*(1+(INDEX(Panels!J:J,MATCH(C7,Panels!C:C,0))/100)*(Inputs!B6-25))*E7,1)</f>
      </c>
      <c r="I7" s="3">
        <f>IF(OR(INDEX(Inverters!Q:Q,MATCH(B7,Inverters!C:C,0))="model_only_needs_datasheet",INDEX(Panels!O:O,MATCH(C7,Panels!C:C,0))="model_only_needs_datasheet"),"VERIFY",IF(AND(G7&lt;INDEX(Inverters!G:G,MATCH(B7,Inverters!C:C,0)),H7&gt;=INDEX(Inverters!I:I,MATCH(B7,Inverters!C:C,0)),H7&lt;=INDEX(Inverters!J:J,MATCH(B7,Inverters!C:C,0))),"PASS","FAIL"))</f>
      </c>
      <c r="J7" s="3">
        <f>IF(OR(INDEX(Inverters!Q:Q,MATCH(B7,Inverters!C:C,0))="model_only_needs_datasheet",INDEX(Panels!O:O,MATCH(C7,Panels!C:C,0))="model_only_needs_datasheet"),"VERIFY",IF(INDEX(Panels!F:F,MATCH(C7,Panels!C:C,0))*F7&lt;=INDEX(Inverters!M:M,MATCH(B7,Inverters!C:C,0)),"PASS","FAIL"))</f>
      </c>
      <c r="K7" s="3">
        <f>IF(ISNUMBER(SEARCH("Deye",INDEX(Batteries!M:M,MATCH(D7,Batteries!C:C,0)))),"PASS","VERIFY")</f>
      </c>
      <c r="L7" s="3">
        <f>IF(OR(I7="FAIL",J7="FAIL"),"FAIL",IF(OR(I7="VERIFY",J7="VERIFY",K7="VERIFY",INDEX(Inverters!Q:Q,MATCH(B7,Inverters!C:C,0))="model_only_needs_datasheet",INDEX(Panels!O:O,MATCH(C7,Panels!C:C,0))="model_only_needs_datasheet",INDEX(Batteries!N:N,MATCH(D7,Batteries!C:C,0))="model_only_needs_datasheet"),"VERIFY","PASS"))</f>
      </c>
      <c r="M7" t="inlineStr">
        <is>
          <t>Needs datasheet verification for exact Growatt electrical limits.</t>
        </is>
      </c>
    </row>
    <row r="8">
      <c r="A8" t="inlineStr">
        <is>
          <t>Solis hybrid</t>
        </is>
      </c>
      <c r="B8" t="inlineStr">
        <is>
          <t>S6-EH3P10K-H-EU</t>
        </is>
      </c>
      <c r="C8" t="inlineStr">
        <is>
          <t>JKM575N-72HL4-V</t>
        </is>
      </c>
      <c r="D8" t="inlineStr">
        <is>
          <t>BX51100</t>
        </is>
      </c>
      <c r="E8">
        <v>8</v>
      </c>
      <c r="F8">
        <v>1</v>
      </c>
      <c r="G8" s="3">
        <f>ROUND(INDEX(Panels!G:G,MATCH(C8,Panels!C:C,0))*(1+(INDEX(Panels!J:J,MATCH(C8,Panels!C:C,0))/100)*(Inputs!B5-25))*E8,1)</f>
      </c>
      <c r="H8" s="3">
        <f>ROUND(INDEX(Panels!E:E,MATCH(C8,Panels!C:C,0))*(1+(INDEX(Panels!J:J,MATCH(C8,Panels!C:C,0))/100)*(Inputs!B6-25))*E8,1)</f>
      </c>
      <c r="I8" s="3">
        <f>IF(OR(INDEX(Inverters!Q:Q,MATCH(B8,Inverters!C:C,0))="model_only_needs_datasheet",INDEX(Panels!O:O,MATCH(C8,Panels!C:C,0))="model_only_needs_datasheet"),"VERIFY",IF(AND(G8&lt;INDEX(Inverters!G:G,MATCH(B8,Inverters!C:C,0)),H8&gt;=INDEX(Inverters!I:I,MATCH(B8,Inverters!C:C,0)),H8&lt;=INDEX(Inverters!J:J,MATCH(B8,Inverters!C:C,0))),"PASS","FAIL"))</f>
      </c>
      <c r="J8" s="3">
        <f>IF(OR(INDEX(Inverters!Q:Q,MATCH(B8,Inverters!C:C,0))="model_only_needs_datasheet",INDEX(Panels!O:O,MATCH(C8,Panels!C:C,0))="model_only_needs_datasheet"),"VERIFY",IF(INDEX(Panels!F:F,MATCH(C8,Panels!C:C,0))*F8&lt;=INDEX(Inverters!M:M,MATCH(B8,Inverters!C:C,0)),"PASS","FAIL"))</f>
      </c>
      <c r="K8" s="3">
        <f>IF(ISNUMBER(SEARCH("Deye",INDEX(Batteries!M:M,MATCH(D8,Batteries!C:C,0)))),"PASS","VERIFY")</f>
      </c>
      <c r="L8" s="3">
        <f>IF(OR(I8="FAIL",J8="FAIL"),"FAIL",IF(OR(I8="VERIFY",J8="VERIFY",K8="VERIFY",INDEX(Inverters!Q:Q,MATCH(B8,Inverters!C:C,0))="model_only_needs_datasheet",INDEX(Panels!O:O,MATCH(C8,Panels!C:C,0))="model_only_needs_datasheet",INDEX(Batteries!N:N,MATCH(D8,Batteries!C:C,0))="model_only_needs_datasheet"),"VERIFY","PASS"))</f>
      </c>
      <c r="M8" t="inlineStr">
        <is>
          <t>Needs datasheet verification for exact Solis electrical limits.</t>
        </is>
      </c>
    </row>
    <row r="9">
      <c r="A9" t="inlineStr">
        <is>
          <t>MUST hybrid</t>
        </is>
      </c>
      <c r="B9" t="inlineStr">
        <is>
          <t>PV1800 PRO-5.2KW-48V</t>
        </is>
      </c>
      <c r="C9" t="inlineStr">
        <is>
          <t>JKM575N-72HL4-V</t>
        </is>
      </c>
      <c r="D9" t="inlineStr">
        <is>
          <t>US5000</t>
        </is>
      </c>
      <c r="E9">
        <v>4</v>
      </c>
      <c r="F9">
        <v>1</v>
      </c>
      <c r="G9" s="3">
        <f>ROUND(INDEX(Panels!G:G,MATCH(C9,Panels!C:C,0))*(1+(INDEX(Panels!J:J,MATCH(C9,Panels!C:C,0))/100)*(Inputs!B5-25))*E9,1)</f>
      </c>
      <c r="H9" s="3">
        <f>ROUND(INDEX(Panels!E:E,MATCH(C9,Panels!C:C,0))*(1+(INDEX(Panels!J:J,MATCH(C9,Panels!C:C,0))/100)*(Inputs!B6-25))*E9,1)</f>
      </c>
      <c r="I9" s="3">
        <f>IF(OR(INDEX(Inverters!Q:Q,MATCH(B9,Inverters!C:C,0))="model_only_needs_datasheet",INDEX(Panels!O:O,MATCH(C9,Panels!C:C,0))="model_only_needs_datasheet"),"VERIFY",IF(AND(G9&lt;INDEX(Inverters!G:G,MATCH(B9,Inverters!C:C,0)),H9&gt;=INDEX(Inverters!I:I,MATCH(B9,Inverters!C:C,0)),H9&lt;=INDEX(Inverters!J:J,MATCH(B9,Inverters!C:C,0))),"PASS","FAIL"))</f>
      </c>
      <c r="J9" s="3">
        <f>IF(OR(INDEX(Inverters!Q:Q,MATCH(B9,Inverters!C:C,0))="model_only_needs_datasheet",INDEX(Panels!O:O,MATCH(C9,Panels!C:C,0))="model_only_needs_datasheet"),"VERIFY",IF(INDEX(Panels!F:F,MATCH(C9,Panels!C:C,0))*F9&lt;=INDEX(Inverters!M:M,MATCH(B9,Inverters!C:C,0)),"PASS","FAIL"))</f>
      </c>
      <c r="K9" s="3">
        <f>IF(ISNUMBER(SEARCH("Deye",INDEX(Batteries!M:M,MATCH(D9,Batteries!C:C,0)))),"PASS","VERIFY")</f>
      </c>
      <c r="L9" s="3">
        <f>IF(OR(I9="FAIL",J9="FAIL"),"FAIL",IF(OR(I9="VERIFY",J9="VERIFY",K9="VERIFY",INDEX(Inverters!Q:Q,MATCH(B9,Inverters!C:C,0))="model_only_needs_datasheet",INDEX(Panels!O:O,MATCH(C9,Panels!C:C,0))="model_only_needs_datasheet",INDEX(Batteries!N:N,MATCH(D9,Batteries!C:C,0))="model_only_needs_datasheet"),"VERIFY","PASS"))</f>
      </c>
      <c r="M9" t="inlineStr">
        <is>
          <t>Low-voltage starter check.</t>
        </is>
      </c>
    </row>
  </sheetData>
  <autoFilter ref="A1:M9"/>
  <conditionalFormatting sqref="I2:L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34" customWidth="1"/>
    <col min="3" max="3" width="16" customWidth="1"/>
    <col min="4" max="4" width="72" customWidth="1"/>
  </cols>
  <sheetData>
    <row r="1">
      <c r="A1" t="inlineStr" s="1">
        <is>
          <t>Economics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Region / tariff zone</t>
        </is>
      </c>
      <c r="B2" s="3">
        <f>Inputs!B25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Selected panel power</t>
        </is>
      </c>
      <c r="B3" s="3">
        <f>INDEX(Panels!D:D,MATCH(Inputs!B4,Panels!C:C,0))</f>
      </c>
      <c r="C3" t="inlineStr">
        <is>
          <t>W</t>
        </is>
      </c>
      <c r="D3" t="inlineStr">
        <is>
          <t>From Panels database</t>
        </is>
      </c>
    </row>
    <row r="4">
      <c r="A4" t="inlineStr">
        <is>
          <t>Total panel count</t>
        </is>
      </c>
      <c r="B4" s="3">
        <f>Inputs!B12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PV system size</t>
        </is>
      </c>
      <c r="B5" s="3">
        <f>B3*B4/1000</f>
      </c>
      <c r="C5" t="inlineStr">
        <is>
          <t>kWp</t>
        </is>
      </c>
      <c r="D5" t="inlineStr">
        <is>
          <t>Panel power x total panels</t>
        </is>
      </c>
    </row>
    <row r="6">
      <c r="A6" t="inlineStr">
        <is>
          <t>Specific yield</t>
        </is>
      </c>
      <c r="B6" s="3">
        <f>INDEX(Regions!B:B,MATCH(B2,Regions!A:A,0))</f>
      </c>
      <c r="C6" t="inlineStr">
        <is>
          <t>kWh/kWp/year</t>
        </is>
      </c>
      <c r="D6" t="inlineStr">
        <is>
          <t>From Regions database</t>
        </is>
      </c>
    </row>
    <row r="7">
      <c r="A7" t="inlineStr">
        <is>
          <t>Performance ratio</t>
        </is>
      </c>
      <c r="B7" s="3">
        <v>0.85</v>
      </c>
      <c r="C7" t="inlineStr">
        <is>
          <t>factor</t>
        </is>
      </c>
      <c r="D7" t="inlineStr">
        <is>
          <t>Starter system loss factor</t>
        </is>
      </c>
    </row>
    <row r="8">
      <c r="A8" t="inlineStr">
        <is>
          <t>Annual generation</t>
        </is>
      </c>
      <c r="B8" s="3">
        <f>ROUND(B5*B6*B7,0)</f>
      </c>
      <c r="C8" t="inlineStr">
        <is>
          <t>kWh/year</t>
        </is>
      </c>
      <c r="D8" t="inlineStr">
        <is>
          <t>PV size x yield x performance ratio</t>
        </is>
      </c>
    </row>
    <row r="9">
      <c r="A9" t="inlineStr">
        <is>
          <t>Retail tariff</t>
        </is>
      </c>
      <c r="B9" s="3">
        <f>INDEX(Tariffs!B:B,MATCH(B2,Tariffs!A:A,0))</f>
      </c>
      <c r="C9" t="inlineStr">
        <is>
          <t>RUB/kWh</t>
        </is>
      </c>
      <c r="D9" t="inlineStr">
        <is>
          <t>From Tariffs database</t>
        </is>
      </c>
    </row>
    <row r="10">
      <c r="A10" t="inlineStr">
        <is>
          <t>Export / green tariff</t>
        </is>
      </c>
      <c r="B10" s="3">
        <f>INDEX(Tariffs!C:C,MATCH(B2,Tariffs!A:A,0))</f>
      </c>
      <c r="C10" t="inlineStr">
        <is>
          <t>RUB/kWh</t>
        </is>
      </c>
      <c r="D10" t="inlineStr">
        <is>
          <t>Starter microgeneration purchase value</t>
        </is>
      </c>
    </row>
    <row r="11">
      <c r="A11" t="inlineStr">
        <is>
          <t>Self-consumption share</t>
        </is>
      </c>
      <c r="B11" s="3">
        <f>Inputs!B26</f>
      </c>
      <c r="C11" t="inlineStr">
        <is>
          <t>%</t>
        </is>
      </c>
      <c r="D11" t="inlineStr">
        <is>
          <t>From Inputs</t>
        </is>
      </c>
    </row>
    <row r="12">
      <c r="A12" t="inlineStr">
        <is>
          <t>Annual savings</t>
        </is>
      </c>
      <c r="B12" s="3">
        <f>ROUND(B8*(B11/100)*B9+B8*(1-B11/100)*B10,0)</f>
      </c>
      <c r="C12" t="inlineStr">
        <is>
          <t>RUB/year</t>
        </is>
      </c>
      <c r="D12" t="inlineStr">
        <is>
          <t>Self-consumed value plus exported value</t>
        </is>
      </c>
    </row>
    <row r="13">
      <c r="A13" t="inlineStr">
        <is>
          <t>Simple payback</t>
        </is>
      </c>
      <c r="B13" s="3">
        <f>IF(B12&gt;0,ROUND(B14/B12,1),"")</f>
      </c>
      <c r="C13" t="inlineStr">
        <is>
          <t>years</t>
        </is>
      </c>
      <c r="D13" t="inlineStr">
        <is>
          <t>Installed cost / annual savings</t>
        </is>
      </c>
    </row>
    <row r="14">
      <c r="A14" t="inlineStr">
        <is>
          <t>Installed system cost</t>
        </is>
      </c>
      <c r="B14" s="3">
        <f>Inputs!B27</f>
      </c>
      <c r="C14" t="inlineStr">
        <is>
          <t>RUB</t>
        </is>
      </c>
      <c r="D14" t="inlineStr">
        <is>
          <t>From Inputs</t>
        </is>
      </c>
    </row>
    <row r="15">
      <c r="A15" t="inlineStr">
        <is>
          <t>Tariff source status</t>
        </is>
      </c>
      <c r="B15" s="3">
        <f>Inputs!B28</f>
      </c>
      <c r="C15" t="inlineStr">
        <is>
          <t/>
        </is>
      </c>
      <c r="D15" t="inlineStr">
        <is>
          <t>VERIFY until supplier/date is checked</t>
        </is>
      </c>
    </row>
    <row r="16">
      <c r="A16" t="inlineStr">
        <is>
          <t>Retail tariff source</t>
        </is>
      </c>
      <c r="B16" s="3">
        <f>INDEX(Tariffs!D:D,MATCH(B2,Tariffs!A:A,0))</f>
      </c>
      <c r="C16" t="inlineStr">
        <is>
          <t/>
        </is>
      </c>
      <c r="D16" t="inlineStr">
        <is>
          <t>Source URL</t>
        </is>
      </c>
    </row>
    <row r="17">
      <c r="A17" t="inlineStr">
        <is>
          <t>Export tariff source</t>
        </is>
      </c>
      <c r="B17" s="3">
        <f>INDEX(Tariffs!E:E,MATCH(B2,Tariffs!A:A,0))</f>
      </c>
      <c r="C17" t="inlineStr">
        <is>
          <t/>
        </is>
      </c>
      <c r="D17" t="inlineStr">
        <is>
          <t>Source URL</t>
        </is>
      </c>
    </row>
  </sheetData>
  <conditionalFormatting sqref="B1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pane xSplit="0" ySplit="1" topLeftCell="A2" activePane="bottomRight" state="frozen"/>
    </sheetView>
  </sheetViews>
  <sheetFormatPr defaultRowHeight="16"/>
  <cols>
    <col min="1" max="1" width="14" customWidth="1"/>
    <col min="2" max="2" width="14" customWidth="1"/>
    <col min="3" max="3" width="74" customWidth="1"/>
  </cols>
  <sheetData>
    <row r="1">
      <c r="A1" t="inlineStr" s="1">
        <is>
          <t>section_mm2</t>
        </is>
      </c>
      <c r="B1" t="inlineStr" s="1">
        <is>
          <t>ampacity_a</t>
        </is>
      </c>
      <c r="C1" t="inlineStr" s="1">
        <is>
          <t>notes</t>
        </is>
      </c>
    </row>
    <row r="2">
      <c r="A2">
        <v>1.5</v>
      </c>
      <c r="B2">
        <v>0</v>
      </c>
      <c r="C2" t="inlineStr">
        <is>
          <t>Lookup floor for low-current auxiliary AC circuits; verify installation method.</t>
        </is>
      </c>
    </row>
    <row r="3">
      <c r="A3">
        <v>2.5</v>
      </c>
      <c r="B3">
        <v>25</v>
      </c>
      <c r="C3" t="inlineStr">
        <is>
          <t>Starter copper cable ampacity assumption; verify installation method.</t>
        </is>
      </c>
    </row>
    <row r="4">
      <c r="A4">
        <v>4</v>
      </c>
      <c r="B4">
        <v>35</v>
      </c>
      <c r="C4" t="inlineStr">
        <is>
          <t>Starter copper cable ampacity assumption; verify installation method.</t>
        </is>
      </c>
    </row>
    <row r="5">
      <c r="A5">
        <v>6</v>
      </c>
      <c r="B5">
        <v>50</v>
      </c>
      <c r="C5" t="inlineStr">
        <is>
          <t>Starter copper cable ampacity assumption; verify installation method.</t>
        </is>
      </c>
    </row>
    <row r="6">
      <c r="A6">
        <v>10</v>
      </c>
      <c r="B6">
        <v>70</v>
      </c>
      <c r="C6" t="inlineStr">
        <is>
          <t>Starter copper cable ampacity assumption; verify installation method.</t>
        </is>
      </c>
    </row>
    <row r="7">
      <c r="A7">
        <v>16</v>
      </c>
      <c r="B7">
        <v>90</v>
      </c>
      <c r="C7" t="inlineStr">
        <is>
          <t>Starter copper cable ampacity assumption; verify installation method.</t>
        </is>
      </c>
    </row>
    <row r="8">
      <c r="A8">
        <v>25</v>
      </c>
      <c r="B8">
        <v>120</v>
      </c>
      <c r="C8" t="inlineStr">
        <is>
          <t>Starter copper cable ampacity assumption; verify installation method.</t>
        </is>
      </c>
    </row>
    <row r="9">
      <c r="A9">
        <v>35</v>
      </c>
      <c r="B9">
        <v>150</v>
      </c>
      <c r="C9" t="inlineStr">
        <is>
          <t>Starter copper cable ampacity assumption; verify installation method.</t>
        </is>
      </c>
    </row>
    <row r="10">
      <c r="A10">
        <v>50</v>
      </c>
      <c r="B10">
        <v>180</v>
      </c>
      <c r="C10" t="inlineStr">
        <is>
          <t>Starter copper cable ampacity assumption; verify installation method.</t>
        </is>
      </c>
    </row>
    <row r="11">
      <c r="A11">
        <v>70</v>
      </c>
      <c r="B11">
        <v>230</v>
      </c>
      <c r="C11" t="inlineStr">
        <is>
          <t>Starter copper cable ampacity assumption; verify installation method.</t>
        </is>
      </c>
    </row>
    <row r="12">
      <c r="A12">
        <v>95</v>
      </c>
      <c r="B12">
        <v>280</v>
      </c>
      <c r="C12" t="inlineStr">
        <is>
          <t>Starter copper cable ampacity assumption; verify installation method.</t>
        </is>
      </c>
    </row>
    <row r="13">
      <c r="A13">
        <v>120</v>
      </c>
      <c r="B13">
        <v>330</v>
      </c>
      <c r="C13" t="inlineStr">
        <is>
          <t>Starter copper cable ampacity assumption; verify installation method.</t>
        </is>
      </c>
    </row>
  </sheetData>
  <autoFilter ref="A1:C13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4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20" customWidth="1"/>
    <col min="5" max="5" width="26" customWidth="1"/>
    <col min="6" max="6" width="74" customWidth="1"/>
  </cols>
  <sheetData>
    <row r="1">
      <c r="A1" t="inlineStr" s="1">
        <is>
          <t>section_mm2</t>
        </is>
      </c>
      <c r="B1" t="inlineStr" s="1">
        <is>
          <t>ampacity_a</t>
        </is>
      </c>
      <c r="C1" t="inlineStr" s="1">
        <is>
          <t>notes</t>
        </is>
      </c>
    </row>
    <row r="2">
      <c r="A2">
        <v>1.5</v>
      </c>
      <c r="B2">
        <v>0</v>
      </c>
      <c r="C2" t="inlineStr">
        <is>
          <t>Lookup floor for low-current auxiliary AC circuits; verify installation method.</t>
        </is>
      </c>
    </row>
    <row r="3">
      <c r="A3">
        <v>2.5</v>
      </c>
      <c r="B3">
        <v>25</v>
      </c>
      <c r="C3" t="inlineStr">
        <is>
          <t>Starter copper cable ampacity assumption; verify installation method.</t>
        </is>
      </c>
    </row>
    <row r="4">
      <c r="A4">
        <v>4</v>
      </c>
      <c r="B4">
        <v>35</v>
      </c>
      <c r="C4" t="inlineStr">
        <is>
          <t>Starter copper cable ampacity assumption; verify installation method.</t>
        </is>
      </c>
    </row>
    <row r="5">
      <c r="A5">
        <v>6</v>
      </c>
      <c r="B5">
        <v>50</v>
      </c>
      <c r="C5" t="inlineStr">
        <is>
          <t>Starter copper cable ampacity assumption; verify installation method.</t>
        </is>
      </c>
    </row>
    <row r="6">
      <c r="A6">
        <v>10</v>
      </c>
      <c r="B6">
        <v>70</v>
      </c>
      <c r="C6" t="inlineStr">
        <is>
          <t>Starter copper cable ampacity assumption; verify installation method.</t>
        </is>
      </c>
    </row>
    <row r="7">
      <c r="A7">
        <v>16</v>
      </c>
      <c r="B7">
        <v>90</v>
      </c>
      <c r="C7" t="inlineStr">
        <is>
          <t>Starter copper cable ampacity assumption; verify installation method.</t>
        </is>
      </c>
    </row>
    <row r="8">
      <c r="A8">
        <v>25</v>
      </c>
      <c r="B8">
        <v>120</v>
      </c>
      <c r="C8" t="inlineStr">
        <is>
          <t>Starter copper cable ampacity assumption; verify installation method.</t>
        </is>
      </c>
    </row>
    <row r="9">
      <c r="A9">
        <v>35</v>
      </c>
      <c r="B9">
        <v>150</v>
      </c>
      <c r="C9" t="inlineStr">
        <is>
          <t>Starter copper cable ampacity assumption; verify installation method.</t>
        </is>
      </c>
    </row>
    <row r="10">
      <c r="A10">
        <v>50</v>
      </c>
      <c r="B10">
        <v>180</v>
      </c>
      <c r="C10" t="inlineStr">
        <is>
          <t>Starter copper cable ampacity assumption; verify installation method.</t>
        </is>
      </c>
    </row>
    <row r="11">
      <c r="A11">
        <v>70</v>
      </c>
      <c r="B11">
        <v>230</v>
      </c>
      <c r="C11" t="inlineStr">
        <is>
          <t>Starter copper cable ampacity assumption; verify installation method.</t>
        </is>
      </c>
    </row>
    <row r="12">
      <c r="A12">
        <v>95</v>
      </c>
      <c r="B12">
        <v>280</v>
      </c>
      <c r="C12" t="inlineStr">
        <is>
          <t>Starter copper cable ampacity assumption; verify installation method.</t>
        </is>
      </c>
    </row>
    <row r="13">
      <c r="A13">
        <v>120</v>
      </c>
      <c r="B13">
        <v>330</v>
      </c>
      <c r="C13" t="inlineStr">
        <is>
          <t>Starter copper cable ampacity assumption; verify installation method.</t>
        </is>
      </c>
    </row>
    <row r="14">
      <c r="A14" t="inlineStr">
        <is>
          <t>PV cable red</t>
        </is>
      </c>
      <c r="B14" t="inlineStr">
        <is>
          <t>DC cable</t>
        </is>
      </c>
      <c r="C14">
        <v>0</v>
      </c>
      <c r="D14" t="inlineStr">
        <is>
          <t>m</t>
        </is>
      </c>
      <c r="E14" t="inlineStr">
        <is>
          <t>user_input</t>
        </is>
      </c>
      <c r="F14" t="inlineStr">
        <is>
          <t>Positive DC cable length; user-defined route length.</t>
        </is>
      </c>
    </row>
    <row r="15">
      <c r="A15" t="inlineStr">
        <is>
          <t>PV cable black</t>
        </is>
      </c>
      <c r="B15" t="inlineStr">
        <is>
          <t>DC cable</t>
        </is>
      </c>
      <c r="C15">
        <v>0</v>
      </c>
      <c r="D15" t="inlineStr">
        <is>
          <t>m</t>
        </is>
      </c>
      <c r="E15" t="inlineStr">
        <is>
          <t>user_input</t>
        </is>
      </c>
      <c r="F15" t="inlineStr">
        <is>
          <t>Negative DC cable length; user-defined route length.</t>
        </is>
      </c>
    </row>
    <row r="16">
      <c r="A16" t="inlineStr">
        <is>
          <t>PE cable</t>
        </is>
      </c>
      <c r="B16" t="inlineStr">
        <is>
          <t>Grounding cable</t>
        </is>
      </c>
      <c r="C16">
        <v>0</v>
      </c>
      <c r="D16" t="inlineStr">
        <is>
          <t>m</t>
        </is>
      </c>
      <c r="E16" t="inlineStr">
        <is>
          <t>user_input</t>
        </is>
      </c>
      <c r="F16" t="inlineStr">
        <is>
          <t>Protective earth cable length; user-defined route length.</t>
        </is>
      </c>
    </row>
    <row r="17">
      <c r="A17" t="inlineStr">
        <is>
          <t>DC string fuse</t>
        </is>
      </c>
      <c r="B17" t="inlineStr">
        <is>
          <t>DC protection</t>
        </is>
      </c>
      <c r="C17">
        <v>0</v>
      </c>
      <c r="D17" t="inlineStr">
        <is>
          <t>pcs</t>
        </is>
      </c>
      <c r="E17" t="inlineStr">
        <is>
          <t>strings_per_mppt_gt_1</t>
        </is>
      </c>
      <c r="F17" t="inlineStr">
        <is>
          <t>Use when parallel strings are connected; verify by module Isc and local rules.</t>
        </is>
      </c>
    </row>
    <row r="18">
      <c r="A18" t="inlineStr">
        <is>
          <t>DC isolator</t>
        </is>
      </c>
      <c r="B18" t="inlineStr">
        <is>
          <t>DC protection</t>
        </is>
      </c>
      <c r="C18">
        <v>1</v>
      </c>
      <c r="D18" t="inlineStr">
        <is>
          <t>pcs</t>
        </is>
      </c>
      <c r="E18" t="inlineStr">
        <is>
          <t>one_per_inverter</t>
        </is>
      </c>
      <c r="F18" t="inlineStr">
        <is>
          <t>DC isolator or switch-disconnector; verify inverter built-in equipment.</t>
        </is>
      </c>
    </row>
    <row r="19">
      <c r="A19" t="inlineStr">
        <is>
          <t>DC SPD Type 2</t>
        </is>
      </c>
      <c r="B19" t="inlineStr">
        <is>
          <t>DC protection</t>
        </is>
      </c>
      <c r="C19">
        <v>1</v>
      </c>
      <c r="D19" t="inlineStr">
        <is>
          <t>pcs</t>
        </is>
      </c>
      <c r="E19" t="inlineStr">
        <is>
          <t>one_per_array</t>
        </is>
      </c>
      <c r="F19" t="inlineStr">
        <is>
          <t>DC surge protection starter assumption.</t>
        </is>
      </c>
    </row>
    <row r="20">
      <c r="A20" t="inlineStr">
        <is>
          <t>AC breaker</t>
        </is>
      </c>
      <c r="B20" t="inlineStr">
        <is>
          <t>AC protection</t>
        </is>
      </c>
      <c r="C20">
        <v>1</v>
      </c>
      <c r="D20" t="inlineStr">
        <is>
          <t>pcs</t>
        </is>
      </c>
      <c r="E20" t="inlineStr">
        <is>
          <t>one_per_inverter</t>
        </is>
      </c>
      <c r="F20" t="inlineStr">
        <is>
          <t>AC breaker rating must be selected by inverter output current and local rules.</t>
        </is>
      </c>
    </row>
    <row r="21">
      <c r="A21" t="inlineStr">
        <is>
          <t>AC SPD Type 2</t>
        </is>
      </c>
      <c r="B21" t="inlineStr">
        <is>
          <t>AC protection</t>
        </is>
      </c>
      <c r="C21">
        <v>1</v>
      </c>
      <c r="D21" t="inlineStr">
        <is>
          <t>pcs</t>
        </is>
      </c>
      <c r="E21" t="inlineStr">
        <is>
          <t>one_per_system</t>
        </is>
      </c>
      <c r="F21" t="inlineStr">
        <is>
          <t>AC surge protection starter assumption.</t>
        </is>
      </c>
    </row>
    <row r="22">
      <c r="A22" t="inlineStr">
        <is>
          <t>AC cable</t>
        </is>
      </c>
      <c r="B22" t="inlineStr">
        <is>
          <t>AC cable</t>
        </is>
      </c>
      <c r="C22">
        <v>0</v>
      </c>
      <c r="D22" t="inlineStr">
        <is>
          <t>m</t>
        </is>
      </c>
      <c r="E22" t="inlineStr">
        <is>
          <t>user_input</t>
        </is>
      </c>
      <c r="F22" t="inlineStr">
        <is>
          <t>AC cable length; user-defined route length.</t>
        </is>
      </c>
    </row>
    <row r="23">
      <c r="A23" t="inlineStr">
        <is>
          <t>Battery DC cable pair</t>
        </is>
      </c>
      <c r="B23" t="inlineStr">
        <is>
          <t>Battery cable</t>
        </is>
      </c>
      <c r="C23">
        <v>1</v>
      </c>
      <c r="D23" t="inlineStr">
        <is>
          <t>pair</t>
        </is>
      </c>
      <c r="E23" t="inlineStr">
        <is>
          <t>one_per_battery_stack</t>
        </is>
      </c>
      <c r="F23" t="inlineStr">
        <is>
          <t>Battery cable pair starter assumption.</t>
        </is>
      </c>
    </row>
    <row r="24">
      <c r="A24" t="inlineStr">
        <is>
          <t>Battery fuse or breaker</t>
        </is>
      </c>
      <c r="B24" t="inlineStr">
        <is>
          <t>Battery protection</t>
        </is>
      </c>
      <c r="C24">
        <v>1</v>
      </c>
      <c r="D24" t="inlineStr">
        <is>
          <t>pcs</t>
        </is>
      </c>
      <c r="E24" t="inlineStr">
        <is>
          <t>one_per_battery_stack</t>
        </is>
      </c>
      <c r="F24" t="inlineStr">
        <is>
          <t>Battery protection must be selected by battery/inverter current.</t>
        </is>
      </c>
    </row>
  </sheetData>
  <autoFilter ref="A1:C24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xSplit="0" ySplit="1" topLeftCell="A2" activePane="bottomRight" state="frozen"/>
    </sheetView>
  </sheetViews>
  <sheetFormatPr defaultRowHeight="16"/>
  <cols>
    <col min="1" max="1" width="28" customWidth="1"/>
    <col min="2" max="2" width="34" customWidth="1"/>
    <col min="3" max="3" width="78" customWidth="1"/>
  </cols>
  <sheetData>
    <row r="1">
      <c r="A1" t="inlineStr" s="1">
        <is>
          <t>condition</t>
        </is>
      </c>
      <c r="B1" t="inlineStr" s="1">
        <is>
          <t>recommended_spd</t>
        </is>
      </c>
      <c r="C1" t="inlineStr" s="1">
        <is>
          <t>notes</t>
        </is>
      </c>
    </row>
    <row r="2">
      <c r="A2" t="inlineStr">
        <is>
          <t>No external LPS</t>
        </is>
      </c>
      <c r="B2" t="inlineStr">
        <is>
          <t>Type 2 DC/AC SPD</t>
        </is>
      </c>
      <c r="C2" t="inlineStr">
        <is>
          <t>Starter residential/commercial assumption; verify risk assessment and local standards.</t>
        </is>
      </c>
    </row>
    <row r="3">
      <c r="A3" t="inlineStr">
        <is>
          <t>External LPS</t>
        </is>
      </c>
      <c r="B3" t="inlineStr">
        <is>
          <t>Type 1+2 DC/AC SPD</t>
        </is>
      </c>
      <c r="C3" t="inlineStr">
        <is>
          <t>Use when building has external lightning protection system; verify coordination.</t>
        </is>
      </c>
    </row>
    <row r="4">
      <c r="A4" t="inlineStr">
        <is>
          <t>Overhead supply</t>
        </is>
      </c>
      <c r="B4" t="inlineStr">
        <is>
          <t>Type 1+2 AC SPD</t>
        </is>
      </c>
      <c r="C4" t="inlineStr">
        <is>
          <t>Often required on AC side with overhead supply; verify utility and standards.</t>
        </is>
      </c>
    </row>
    <row r="5">
      <c r="A5" t="inlineStr">
        <is>
          <t>Long outdoor DC route</t>
        </is>
      </c>
      <c r="B5" t="inlineStr">
        <is>
          <t>Type 2 DC SPD near inverter and array</t>
        </is>
      </c>
      <c r="C5" t="inlineStr">
        <is>
          <t>May require additional SPD placement; verify cable route and inverter manual.</t>
        </is>
      </c>
    </row>
  </sheetData>
  <autoFilter ref="A1:C5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34" customWidth="1"/>
    <col min="3" max="3" width="78" customWidth="1"/>
  </cols>
  <sheetData>
    <row r="1">
      <c r="A1" t="inlineStr" s="1">
        <is>
          <t>earthing_system</t>
        </is>
      </c>
      <c r="B1" t="inlineStr" s="1">
        <is>
          <t>starter_requirement</t>
        </is>
      </c>
      <c r="C1" t="inlineStr" s="1">
        <is>
          <t>notes</t>
        </is>
      </c>
    </row>
    <row r="2">
      <c r="A2" t="inlineStr">
        <is>
          <t>TN-S</t>
        </is>
      </c>
      <c r="B2" t="inlineStr">
        <is>
          <t>PE continuity and bonding check</t>
        </is>
      </c>
      <c r="C2" t="inlineStr">
        <is>
          <t>Verify PE conductor sizing</t>
        </is>
      </c>
      <c r="D2" t="inlineStr">
        <is>
          <t> equipotential bonding</t>
        </is>
      </c>
      <c r="E2" t="inlineStr">
        <is>
          <t> and SPD connection length.</t>
        </is>
      </c>
    </row>
    <row r="3">
      <c r="A3" t="inlineStr">
        <is>
          <t>TN-C-S</t>
        </is>
      </c>
      <c r="B3" t="inlineStr">
        <is>
          <t>Separate PEN/PE handling check</t>
        </is>
      </c>
      <c r="C3" t="inlineStr">
        <is>
          <t>Verify local rules for PV connection</t>
        </is>
      </c>
      <c r="D3" t="inlineStr">
        <is>
          <t> bonding</t>
        </is>
      </c>
      <c r="E3" t="inlineStr">
        <is>
          <t> and SPD earthing.</t>
        </is>
      </c>
    </row>
    <row r="4">
      <c r="A4" t="inlineStr">
        <is>
          <t>TT</t>
        </is>
      </c>
      <c r="B4" t="inlineStr">
        <is>
          <t>RCD and earth electrode check</t>
        </is>
      </c>
      <c r="C4" t="inlineStr">
        <is>
          <t>Verify electrode resistance</t>
        </is>
      </c>
      <c r="D4" t="inlineStr">
        <is>
          <t> RCD coordination</t>
        </is>
      </c>
      <c r="E4" t="inlineStr">
        <is>
          <t> and SPD discharge path.</t>
        </is>
      </c>
    </row>
    <row r="5">
      <c r="A5" t="inlineStr">
        <is>
          <t>IT</t>
        </is>
      </c>
      <c r="B5" t="inlineStr">
        <is>
          <t>Special protection study required</t>
        </is>
      </c>
      <c r="C5" t="inlineStr">
        <is>
          <t>Do not use starter assumptions without engineering verification.</t>
        </is>
      </c>
    </row>
  </sheetData>
  <autoFilter ref="A1:C5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xSplit="0" ySplit="1" topLeftCell="A2" activePane="bottomRight" state="frozen"/>
    </sheetView>
  </sheetViews>
  <sheetFormatPr defaultRowHeight="16"/>
  <cols>
    <col min="1" max="1" width="24" customWidth="1"/>
    <col min="2" max="2" width="28" customWidth="1"/>
    <col min="3" max="3" width="16" customWidth="1"/>
    <col min="4" max="4" width="78" customWidth="1"/>
  </cols>
  <sheetData>
    <row r="1">
      <c r="A1" t="inlineStr" s="1">
        <is>
          <t>factor_type</t>
        </is>
      </c>
      <c r="B1" t="inlineStr" s="1">
        <is>
          <t>option</t>
        </is>
      </c>
      <c r="C1" t="inlineStr" s="1">
        <is>
          <t>default_factor</t>
        </is>
      </c>
      <c r="D1" t="inlineStr" s="1">
        <is>
          <t>notes</t>
        </is>
      </c>
    </row>
    <row r="2">
      <c r="A2" t="inlineStr">
        <is>
          <t>installation_method</t>
        </is>
      </c>
      <c r="B2" t="inlineStr">
        <is>
          <t>Open air</t>
        </is>
      </c>
      <c r="C2">
        <v>1</v>
      </c>
      <c r="D2" t="inlineStr">
        <is>
          <t>Starter assumption for ventilated cable routes; verify local tables.</t>
        </is>
      </c>
    </row>
    <row r="3">
      <c r="A3" t="inlineStr">
        <is>
          <t>installation_method</t>
        </is>
      </c>
      <c r="B3" t="inlineStr">
        <is>
          <t>Conduit or trunking</t>
        </is>
      </c>
      <c r="C3">
        <v>0.85</v>
      </c>
      <c r="D3" t="inlineStr">
        <is>
          <t>Starter derating for enclosed routes; verify local tables.</t>
        </is>
      </c>
    </row>
    <row r="4">
      <c r="A4" t="inlineStr">
        <is>
          <t>installation_method</t>
        </is>
      </c>
      <c r="B4" t="inlineStr">
        <is>
          <t>Thermal insulation</t>
        </is>
      </c>
      <c r="C4">
        <v>0.65</v>
      </c>
      <c r="D4" t="inlineStr">
        <is>
          <t>High derating risk; verify local tables.</t>
        </is>
      </c>
    </row>
    <row r="5">
      <c r="A5" t="inlineStr">
        <is>
          <t>grouping</t>
        </is>
      </c>
      <c r="B5" t="inlineStr">
        <is>
          <t>Single circuit</t>
        </is>
      </c>
      <c r="C5">
        <v>1</v>
      </c>
      <c r="D5" t="inlineStr">
        <is>
          <t>No grouping derating applied.</t>
        </is>
      </c>
    </row>
    <row r="6">
      <c r="A6" t="inlineStr">
        <is>
          <t>grouping</t>
        </is>
      </c>
      <c r="B6" t="inlineStr">
        <is>
          <t>Several circuits</t>
        </is>
      </c>
      <c r="C6">
        <v>0.8</v>
      </c>
      <c r="D6" t="inlineStr">
        <is>
          <t>Starter grouping derating; verify actual routing.</t>
        </is>
      </c>
    </row>
    <row r="7">
      <c r="A7" t="inlineStr">
        <is>
          <t>temperature</t>
        </is>
      </c>
      <c r="B7" t="inlineStr">
        <is>
          <t>Standard ambient</t>
        </is>
      </c>
      <c r="C7">
        <v>1</v>
      </c>
      <c r="D7" t="inlineStr">
        <is>
          <t>Starter assumption.</t>
        </is>
      </c>
    </row>
    <row r="8">
      <c r="A8" t="inlineStr">
        <is>
          <t>temperature</t>
        </is>
      </c>
      <c r="B8" t="inlineStr">
        <is>
          <t>High ambient</t>
        </is>
      </c>
      <c r="C8">
        <v>0.87</v>
      </c>
      <c r="D8" t="inlineStr">
        <is>
          <t>Starter derating for hot environments; verify cable rating.</t>
        </is>
      </c>
    </row>
  </sheetData>
  <autoFilter ref="A1:D8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33"/>
  <sheetViews>
    <sheetView workbookViewId="0">
      <pane xSplit="0" ySplit="1" topLeftCell="A2" activePane="bottomRight" state="frozen"/>
    </sheetView>
  </sheetViews>
  <sheetFormatPr defaultRowHeight="16"/>
  <cols>
    <col min="1" max="1" width="22" customWidth="1"/>
    <col min="2" max="2" width="28" customWidth="1"/>
    <col min="10" max="10" width="72" customWidth="1"/>
  </cols>
  <sheetData>
    <row r="1">
      <c r="A1" t="inlineStr" s="1">
        <is>
          <t>roof_type</t>
        </is>
      </c>
      <c r="B1" t="inlineStr" s="1">
        <is>
          <t>component</t>
        </is>
      </c>
      <c r="C1" t="inlineStr" s="1">
        <is>
          <t>base_qty</t>
        </is>
      </c>
      <c r="D1" t="inlineStr" s="1">
        <is>
          <t>qty_per_panel</t>
        </is>
      </c>
      <c r="E1" t="inlineStr" s="1">
        <is>
          <t>qty_per_row</t>
        </is>
      </c>
      <c r="F1" t="inlineStr" s="1">
        <is>
          <t>qty_per_joint</t>
        </is>
      </c>
      <c r="G1" t="inlineStr" s="1">
        <is>
          <t>qty_per_string</t>
        </is>
      </c>
      <c r="H1" t="inlineStr" s="1">
        <is>
          <t>qty_per_array</t>
        </is>
      </c>
      <c r="I1" t="inlineStr" s="1">
        <is>
          <t>rounding_unit</t>
        </is>
      </c>
      <c r="J1" t="inlineStr" s="1">
        <is>
          <t>notes</t>
        </is>
      </c>
    </row>
    <row r="2">
      <c r="A2" t="inlineStr">
        <is>
          <t>Metal tile</t>
        </is>
      </c>
      <c r="B2" t="inlineStr">
        <is>
          <t>Roof hook</t>
        </is>
      </c>
      <c r="C2">
        <v>0</v>
      </c>
      <c r="D2">
        <v>4</v>
      </c>
      <c r="E2">
        <v>0</v>
      </c>
      <c r="F2">
        <v>0</v>
      </c>
      <c r="G2">
        <v>0</v>
      </c>
      <c r="H2">
        <v>0</v>
      </c>
      <c r="I2">
        <v>1</v>
      </c>
      <c r="J2" t="inlineStr">
        <is>
          <t>Use 4 hooks per panel as starter assumption; verify by rail span and wind zone.</t>
        </is>
      </c>
    </row>
    <row r="3">
      <c r="A3" t="inlineStr">
        <is>
          <t>Metal tile</t>
        </is>
      </c>
      <c r="B3" t="inlineStr">
        <is>
          <t>Rail</t>
        </is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1</v>
      </c>
      <c r="J3" t="inlineStr">
        <is>
          <t>Two rails per panel row equivalent; final length depends on module width and rail stock length.</t>
        </is>
      </c>
    </row>
    <row r="4">
      <c r="A4" t="inlineStr">
        <is>
          <t>Metal tile</t>
        </is>
      </c>
      <c r="B4" t="inlineStr">
        <is>
          <t>Rail connector</t>
        </is>
      </c>
      <c r="C4">
        <v>0</v>
      </c>
      <c r="D4">
        <v>0</v>
      </c>
      <c r="E4">
        <v>0</v>
      </c>
      <c r="F4">
        <v>2</v>
      </c>
      <c r="G4">
        <v>0</v>
      </c>
      <c r="H4">
        <v>0</v>
      </c>
      <c r="I4">
        <v>1</v>
      </c>
      <c r="J4" t="inlineStr">
        <is>
          <t>Two connectors per rail joint.</t>
        </is>
      </c>
    </row>
    <row r="5">
      <c r="A5" t="inlineStr">
        <is>
          <t>Metal tile</t>
        </is>
      </c>
      <c r="B5" t="inlineStr">
        <is>
          <t>End clamp</t>
        </is>
      </c>
      <c r="C5">
        <v>0</v>
      </c>
      <c r="D5">
        <v>0</v>
      </c>
      <c r="E5">
        <v>4</v>
      </c>
      <c r="F5">
        <v>0</v>
      </c>
      <c r="G5">
        <v>0</v>
      </c>
      <c r="H5">
        <v>0</v>
      </c>
      <c r="I5">
        <v>1</v>
      </c>
      <c r="J5" t="inlineStr">
        <is>
          <t>Four end clamps per row.</t>
        </is>
      </c>
    </row>
    <row r="6">
      <c r="A6" t="inlineStr">
        <is>
          <t>Metal tile</t>
        </is>
      </c>
      <c r="B6" t="inlineStr">
        <is>
          <t>Middle clamp</t>
        </is>
      </c>
      <c r="C6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1</v>
      </c>
      <c r="J6" t="inlineStr">
        <is>
          <t>Two middle clamps per gap between adjacent panels; formula handles gaps.</t>
        </is>
      </c>
    </row>
    <row r="7">
      <c r="A7" t="inlineStr">
        <is>
          <t>Metal tile</t>
        </is>
      </c>
      <c r="B7" t="inlineStr">
        <is>
          <t>Bolt set</t>
        </is>
      </c>
      <c r="C7">
        <v>0</v>
      </c>
      <c r="D7">
        <v>4</v>
      </c>
      <c r="E7">
        <v>0</v>
      </c>
      <c r="F7">
        <v>0</v>
      </c>
      <c r="G7">
        <v>0</v>
      </c>
      <c r="H7">
        <v>0</v>
      </c>
      <c r="I7">
        <v>1</v>
      </c>
      <c r="J7" t="inlineStr">
        <is>
          <t>Starter one bolt set per hook.</t>
        </is>
      </c>
    </row>
    <row r="8">
      <c r="A8" t="inlineStr">
        <is>
          <t>Metal tile</t>
        </is>
      </c>
      <c r="B8" t="inlineStr">
        <is>
          <t>Grounding clip</t>
        </is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 t="inlineStr">
        <is>
          <t>One grounding clip per module.</t>
        </is>
      </c>
    </row>
    <row r="9">
      <c r="A9" t="inlineStr">
        <is>
          <t>Metal tile</t>
        </is>
      </c>
      <c r="B9" t="inlineStr">
        <is>
          <t>Cable clip</t>
        </is>
      </c>
      <c r="C9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1</v>
      </c>
      <c r="J9" t="inlineStr">
        <is>
          <t>Two cable clips per module.</t>
        </is>
      </c>
    </row>
    <row r="10">
      <c r="A10" t="inlineStr">
        <is>
          <t>Standing seam</t>
        </is>
      </c>
      <c r="B10" t="inlineStr">
        <is>
          <t>Mini rail clamp</t>
        </is>
      </c>
      <c r="C10">
        <v>0</v>
      </c>
      <c r="D10">
        <v>4</v>
      </c>
      <c r="E10">
        <v>0</v>
      </c>
      <c r="F10">
        <v>0</v>
      </c>
      <c r="G10">
        <v>0</v>
      </c>
      <c r="H10">
        <v>0</v>
      </c>
      <c r="I10">
        <v>1</v>
      </c>
      <c r="J10" t="inlineStr">
        <is>
          <t>Use seam clamps or mini-rail clamps; verify seam spacing and clamp approval.</t>
        </is>
      </c>
    </row>
    <row r="11">
      <c r="A11" t="inlineStr">
        <is>
          <t>Standing seam</t>
        </is>
      </c>
      <c r="B11" t="inlineStr">
        <is>
          <t>Mini rail</t>
        </is>
      </c>
      <c r="C11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1</v>
      </c>
      <c r="J11" t="inlineStr">
        <is>
          <t>Two mini-rail supports per module as starter assumption.</t>
        </is>
      </c>
    </row>
    <row r="12">
      <c r="A12" t="inlineStr">
        <is>
          <t>Standing seam</t>
        </is>
      </c>
      <c r="B12" t="inlineStr">
        <is>
          <t>Rail connector</t>
        </is>
      </c>
      <c r="C12">
        <v>0</v>
      </c>
      <c r="D12">
        <v>0</v>
      </c>
      <c r="E12">
        <v>0</v>
      </c>
      <c r="F12">
        <v>2</v>
      </c>
      <c r="G12">
        <v>0</v>
      </c>
      <c r="H12">
        <v>0</v>
      </c>
      <c r="I12">
        <v>1</v>
      </c>
      <c r="J12" t="inlineStr">
        <is>
          <t>Only used when continuous rail is selected.</t>
        </is>
      </c>
    </row>
    <row r="13">
      <c r="A13" t="inlineStr">
        <is>
          <t>Standing seam</t>
        </is>
      </c>
      <c r="B13" t="inlineStr">
        <is>
          <t>End clamp</t>
        </is>
      </c>
      <c r="C13">
        <v>0</v>
      </c>
      <c r="D13">
        <v>0</v>
      </c>
      <c r="E13">
        <v>4</v>
      </c>
      <c r="F13">
        <v>0</v>
      </c>
      <c r="G13">
        <v>0</v>
      </c>
      <c r="H13">
        <v>0</v>
      </c>
      <c r="I13">
        <v>1</v>
      </c>
      <c r="J13" t="inlineStr">
        <is>
          <t>Four end clamps per row.</t>
        </is>
      </c>
    </row>
    <row r="14">
      <c r="A14" t="inlineStr">
        <is>
          <t>Standing seam</t>
        </is>
      </c>
      <c r="B14" t="inlineStr">
        <is>
          <t>Middle clamp</t>
        </is>
      </c>
      <c r="C14">
        <v>0</v>
      </c>
      <c r="D14">
        <v>2</v>
      </c>
      <c r="E14">
        <v>0</v>
      </c>
      <c r="F14">
        <v>0</v>
      </c>
      <c r="G14">
        <v>0</v>
      </c>
      <c r="H14">
        <v>0</v>
      </c>
      <c r="I14">
        <v>1</v>
      </c>
      <c r="J14" t="inlineStr">
        <is>
          <t>Two middle clamps per panel gap.</t>
        </is>
      </c>
    </row>
    <row r="15">
      <c r="A15" t="inlineStr">
        <is>
          <t>Standing seam</t>
        </is>
      </c>
      <c r="B15" t="inlineStr">
        <is>
          <t>Bolt set</t>
        </is>
      </c>
      <c r="C15">
        <v>0</v>
      </c>
      <c r="D15">
        <v>4</v>
      </c>
      <c r="E15">
        <v>0</v>
      </c>
      <c r="F15">
        <v>0</v>
      </c>
      <c r="G15">
        <v>0</v>
      </c>
      <c r="H15">
        <v>0</v>
      </c>
      <c r="I15">
        <v>1</v>
      </c>
      <c r="J15" t="inlineStr">
        <is>
          <t>Starter one bolt set per clamp.</t>
        </is>
      </c>
    </row>
    <row r="16">
      <c r="A16" t="inlineStr">
        <is>
          <t>Standing seam</t>
        </is>
      </c>
      <c r="B16" t="inlineStr">
        <is>
          <t>Grounding clip</t>
        </is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 t="inlineStr">
        <is>
          <t>One grounding clip per module.</t>
        </is>
      </c>
    </row>
    <row r="17">
      <c r="A17" t="inlineStr">
        <is>
          <t>Standing seam</t>
        </is>
      </c>
      <c r="B17" t="inlineStr">
        <is>
          <t>Cable clip</t>
        </is>
      </c>
      <c r="C17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1</v>
      </c>
      <c r="J17" t="inlineStr">
        <is>
          <t>Two cable clips per module.</t>
        </is>
      </c>
    </row>
    <row r="18">
      <c r="A18" t="inlineStr">
        <is>
          <t>Trapezoidal sheet</t>
        </is>
      </c>
      <c r="B18" t="inlineStr">
        <is>
          <t>Mini rail</t>
        </is>
      </c>
      <c r="C18">
        <v>0</v>
      </c>
      <c r="D18">
        <v>2</v>
      </c>
      <c r="E18">
        <v>0</v>
      </c>
      <c r="F18">
        <v>0</v>
      </c>
      <c r="G18">
        <v>0</v>
      </c>
      <c r="H18">
        <v>0</v>
      </c>
      <c r="I18">
        <v>1</v>
      </c>
      <c r="J18" t="inlineStr">
        <is>
          <t>Two mini-rails per module as starter assumption.</t>
        </is>
      </c>
    </row>
    <row r="19">
      <c r="A19" t="inlineStr">
        <is>
          <t>Trapezoidal sheet</t>
        </is>
      </c>
      <c r="B19" t="inlineStr">
        <is>
          <t>Self-drilling screw set</t>
        </is>
      </c>
      <c r="C19">
        <v>0</v>
      </c>
      <c r="D19">
        <v>8</v>
      </c>
      <c r="E19">
        <v>0</v>
      </c>
      <c r="F19">
        <v>0</v>
      </c>
      <c r="G19">
        <v>0</v>
      </c>
      <c r="H19">
        <v>0</v>
      </c>
      <c r="I19">
        <v>1</v>
      </c>
      <c r="J19" t="inlineStr">
        <is>
          <t>Four screws per mini-rail pair side as starter assumption.</t>
        </is>
      </c>
    </row>
    <row r="20">
      <c r="A20" t="inlineStr">
        <is>
          <t>Trapezoidal sheet</t>
        </is>
      </c>
      <c r="B20" t="inlineStr">
        <is>
          <t>Rail connector</t>
        </is>
      </c>
      <c r="C20">
        <v>0</v>
      </c>
      <c r="D20">
        <v>0</v>
      </c>
      <c r="E20">
        <v>0</v>
      </c>
      <c r="F20">
        <v>2</v>
      </c>
      <c r="G20">
        <v>0</v>
      </c>
      <c r="H20">
        <v>0</v>
      </c>
      <c r="I20">
        <v>1</v>
      </c>
      <c r="J20" t="inlineStr">
        <is>
          <t>Only used when long rails are selected.</t>
        </is>
      </c>
    </row>
    <row r="21">
      <c r="A21" t="inlineStr">
        <is>
          <t>Trapezoidal sheet</t>
        </is>
      </c>
      <c r="B21" t="inlineStr">
        <is>
          <t>End clamp</t>
        </is>
      </c>
      <c r="C21">
        <v>0</v>
      </c>
      <c r="D21">
        <v>0</v>
      </c>
      <c r="E21">
        <v>4</v>
      </c>
      <c r="F21">
        <v>0</v>
      </c>
      <c r="G21">
        <v>0</v>
      </c>
      <c r="H21">
        <v>0</v>
      </c>
      <c r="I21">
        <v>1</v>
      </c>
      <c r="J21" t="inlineStr">
        <is>
          <t>Four end clamps per row.</t>
        </is>
      </c>
    </row>
    <row r="22">
      <c r="A22" t="inlineStr">
        <is>
          <t>Trapezoidal sheet</t>
        </is>
      </c>
      <c r="B22" t="inlineStr">
        <is>
          <t>Middle clamp</t>
        </is>
      </c>
      <c r="C22">
        <v>0</v>
      </c>
      <c r="D22">
        <v>2</v>
      </c>
      <c r="E22">
        <v>0</v>
      </c>
      <c r="F22">
        <v>0</v>
      </c>
      <c r="G22">
        <v>0</v>
      </c>
      <c r="H22">
        <v>0</v>
      </c>
      <c r="I22">
        <v>1</v>
      </c>
      <c r="J22" t="inlineStr">
        <is>
          <t>Two middle clamps per panel gap.</t>
        </is>
      </c>
    </row>
    <row r="23">
      <c r="A23" t="inlineStr">
        <is>
          <t>Trapezoidal sheet</t>
        </is>
      </c>
      <c r="B23" t="inlineStr">
        <is>
          <t>Bolt set</t>
        </is>
      </c>
      <c r="C23">
        <v>0</v>
      </c>
      <c r="D23">
        <v>4</v>
      </c>
      <c r="E23">
        <v>0</v>
      </c>
      <c r="F23">
        <v>0</v>
      </c>
      <c r="G23">
        <v>0</v>
      </c>
      <c r="H23">
        <v>0</v>
      </c>
      <c r="I23">
        <v>1</v>
      </c>
      <c r="J23" t="inlineStr">
        <is>
          <t>Starter fastener set allowance.</t>
        </is>
      </c>
    </row>
    <row r="24">
      <c r="A24" t="inlineStr">
        <is>
          <t>Trapezoidal sheet</t>
        </is>
      </c>
      <c r="B24" t="inlineStr">
        <is>
          <t>Grounding clip</t>
        </is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1</v>
      </c>
      <c r="J24" t="inlineStr">
        <is>
          <t>One grounding clip per module.</t>
        </is>
      </c>
    </row>
    <row r="25">
      <c r="A25" t="inlineStr">
        <is>
          <t>Trapezoidal sheet</t>
        </is>
      </c>
      <c r="B25" t="inlineStr">
        <is>
          <t>Cable clip</t>
        </is>
      </c>
      <c r="C25">
        <v>0</v>
      </c>
      <c r="D25">
        <v>2</v>
      </c>
      <c r="E25">
        <v>0</v>
      </c>
      <c r="F25">
        <v>0</v>
      </c>
      <c r="G25">
        <v>0</v>
      </c>
      <c r="H25">
        <v>0</v>
      </c>
      <c r="I25">
        <v>1</v>
      </c>
      <c r="J25" t="inlineStr">
        <is>
          <t>Two cable clips per module.</t>
        </is>
      </c>
    </row>
    <row r="26">
      <c r="A26" t="inlineStr">
        <is>
          <t>Flat roof</t>
        </is>
      </c>
      <c r="B26" t="inlineStr">
        <is>
          <t>Triangle support</t>
        </is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 t="inlineStr">
        <is>
          <t>One support set per panel as starter assumption.</t>
        </is>
      </c>
    </row>
    <row r="27">
      <c r="A27" t="inlineStr">
        <is>
          <t>Flat roof</t>
        </is>
      </c>
      <c r="B27" t="inlineStr">
        <is>
          <t>Rail</t>
        </is>
      </c>
      <c r="C27">
        <v>0</v>
      </c>
      <c r="D27">
        <v>2</v>
      </c>
      <c r="E27">
        <v>0</v>
      </c>
      <c r="F27">
        <v>0</v>
      </c>
      <c r="G27">
        <v>0</v>
      </c>
      <c r="H27">
        <v>0</v>
      </c>
      <c r="I27">
        <v>1</v>
      </c>
      <c r="J27" t="inlineStr">
        <is>
          <t>Two rails per panel row equivalent.</t>
        </is>
      </c>
    </row>
    <row r="28">
      <c r="A28" t="inlineStr">
        <is>
          <t>Flat roof</t>
        </is>
      </c>
      <c r="B28" t="inlineStr">
        <is>
          <t>Rail connector</t>
        </is>
      </c>
      <c r="C28">
        <v>0</v>
      </c>
      <c r="D28">
        <v>0</v>
      </c>
      <c r="E28">
        <v>0</v>
      </c>
      <c r="F28">
        <v>2</v>
      </c>
      <c r="G28">
        <v>0</v>
      </c>
      <c r="H28">
        <v>0</v>
      </c>
      <c r="I28">
        <v>1</v>
      </c>
      <c r="J28" t="inlineStr">
        <is>
          <t>Two connectors per rail joint.</t>
        </is>
      </c>
    </row>
    <row r="29">
      <c r="A29" t="inlineStr">
        <is>
          <t>Flat roof</t>
        </is>
      </c>
      <c r="B29" t="inlineStr">
        <is>
          <t>End clamp</t>
        </is>
      </c>
      <c r="C29">
        <v>0</v>
      </c>
      <c r="D29">
        <v>0</v>
      </c>
      <c r="E29">
        <v>4</v>
      </c>
      <c r="F29">
        <v>0</v>
      </c>
      <c r="G29">
        <v>0</v>
      </c>
      <c r="H29">
        <v>0</v>
      </c>
      <c r="I29">
        <v>1</v>
      </c>
      <c r="J29" t="inlineStr">
        <is>
          <t>Four end clamps per row.</t>
        </is>
      </c>
    </row>
    <row r="30">
      <c r="A30" t="inlineStr">
        <is>
          <t>Flat roof</t>
        </is>
      </c>
      <c r="B30" t="inlineStr">
        <is>
          <t>Middle clamp</t>
        </is>
      </c>
      <c r="C30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1</v>
      </c>
      <c r="J30" t="inlineStr">
        <is>
          <t>Two middle clamps per panel gap.</t>
        </is>
      </c>
    </row>
    <row r="31">
      <c r="A31" t="inlineStr">
        <is>
          <t>Flat roof</t>
        </is>
      </c>
      <c r="B31" t="inlineStr">
        <is>
          <t>Bolt set</t>
        </is>
      </c>
      <c r="C31">
        <v>0</v>
      </c>
      <c r="D31">
        <v>4</v>
      </c>
      <c r="E31">
        <v>0</v>
      </c>
      <c r="F31">
        <v>0</v>
      </c>
      <c r="G31">
        <v>0</v>
      </c>
      <c r="H31">
        <v>0</v>
      </c>
      <c r="I31">
        <v>1</v>
      </c>
      <c r="J31" t="inlineStr">
        <is>
          <t>Starter fastener set allowance.</t>
        </is>
      </c>
    </row>
    <row r="32">
      <c r="A32" t="inlineStr">
        <is>
          <t>Flat roof</t>
        </is>
      </c>
      <c r="B32" t="inlineStr">
        <is>
          <t>Grounding clip</t>
        </is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1</v>
      </c>
      <c r="J32" t="inlineStr">
        <is>
          <t>One grounding clip per module.</t>
        </is>
      </c>
    </row>
    <row r="33">
      <c r="A33" t="inlineStr">
        <is>
          <t>Flat roof</t>
        </is>
      </c>
      <c r="B33" t="inlineStr">
        <is>
          <t>Cable clip</t>
        </is>
      </c>
      <c r="C33">
        <v>0</v>
      </c>
      <c r="D33">
        <v>2</v>
      </c>
      <c r="E33">
        <v>0</v>
      </c>
      <c r="F33">
        <v>0</v>
      </c>
      <c r="G33">
        <v>0</v>
      </c>
      <c r="H33">
        <v>0</v>
      </c>
      <c r="I33">
        <v>1</v>
      </c>
      <c r="J33" t="inlineStr">
        <is>
          <t>Two cable clips per module.</t>
        </is>
      </c>
    </row>
  </sheetData>
  <autoFilter ref="A1:J33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xSplit="0" ySplit="1" topLeftCell="A2" activePane="bottomRight" state="frozen"/>
    </sheetView>
  </sheetViews>
  <sheetFormatPr defaultRowHeight="16"/>
  <cols>
    <col min="1" max="1" width="26" customWidth="1"/>
    <col min="2" max="2" width="24" customWidth="1"/>
    <col min="3" max="3" width="42" customWidth="1"/>
    <col min="4" max="4" width="22" customWidth="1"/>
    <col min="5" max="5" width="78" customWidth="1"/>
  </cols>
  <sheetData>
    <row r="1">
      <c r="A1" t="inlineStr" s="1">
        <is>
          <t>region</t>
        </is>
      </c>
      <c r="B1" t="inlineStr" s="1">
        <is>
          <t>specific_yield_kwh_per_kwp_year</t>
        </is>
      </c>
      <c r="C1" t="inlineStr" s="1">
        <is>
          <t>source_url</t>
        </is>
      </c>
      <c r="D1" t="inlineStr" s="1">
        <is>
          <t>data_status</t>
        </is>
      </c>
      <c r="E1" t="inlineStr" s="1">
        <is>
          <t>notes</t>
        </is>
      </c>
    </row>
    <row r="2">
      <c r="A2" t="inlineStr">
        <is>
          <t>Moscow starter</t>
        </is>
      </c>
      <c r="B2">
        <v>950</v>
      </c>
      <c r="C2" t="inlineStr">
        <is>
          <t>https://globalsolaratlas.info/</t>
        </is>
      </c>
      <c r="D2" t="inlineStr">
        <is>
          <t>seed_verify_source</t>
        </is>
      </c>
      <c r="E2" t="inlineStr">
        <is>
          <t>Starter annual yield assumption; verify exact site with PVGIS or Global Solar Atlas.</t>
        </is>
      </c>
    </row>
    <row r="3">
      <c r="A3" t="inlineStr">
        <is>
          <t>Saint Petersburg starter</t>
        </is>
      </c>
      <c r="B3">
        <v>850</v>
      </c>
      <c r="C3" t="inlineStr">
        <is>
          <t>https://globalsolaratlas.info/</t>
        </is>
      </c>
      <c r="D3" t="inlineStr">
        <is>
          <t>seed_verify_source</t>
        </is>
      </c>
      <c r="E3" t="inlineStr">
        <is>
          <t>Starter annual yield assumption; verify exact site with PVGIS or Global Solar Atlas.</t>
        </is>
      </c>
    </row>
    <row r="4">
      <c r="A4" t="inlineStr">
        <is>
          <t>Krasnodar starter</t>
        </is>
      </c>
      <c r="B4">
        <v>1300</v>
      </c>
      <c r="C4" t="inlineStr">
        <is>
          <t>https://globalsolaratlas.info/</t>
        </is>
      </c>
      <c r="D4" t="inlineStr">
        <is>
          <t>seed_verify_source</t>
        </is>
      </c>
      <c r="E4" t="inlineStr">
        <is>
          <t>Starter annual yield assumption; verify exact site with PVGIS or Global Solar Atlas.</t>
        </is>
      </c>
    </row>
    <row r="5">
      <c r="A5" t="inlineStr">
        <is>
          <t>Rostov-on-Don starter</t>
        </is>
      </c>
      <c r="B5">
        <v>1250</v>
      </c>
      <c r="C5" t="inlineStr">
        <is>
          <t>https://globalsolaratlas.info/</t>
        </is>
      </c>
      <c r="D5" t="inlineStr">
        <is>
          <t>seed_verify_source</t>
        </is>
      </c>
      <c r="E5" t="inlineStr">
        <is>
          <t>Starter annual yield assumption; verify exact site with PVGIS or Global Solar Atlas.</t>
        </is>
      </c>
    </row>
    <row r="6">
      <c r="A6" t="inlineStr">
        <is>
          <t>Yekaterinburg starter</t>
        </is>
      </c>
      <c r="B6">
        <v>1050</v>
      </c>
      <c r="C6" t="inlineStr">
        <is>
          <t>https://globalsolaratlas.info/</t>
        </is>
      </c>
      <c r="D6" t="inlineStr">
        <is>
          <t>seed_verify_source</t>
        </is>
      </c>
      <c r="E6" t="inlineStr">
        <is>
          <t>Starter annual yield assumption; verify exact site with PVGIS or Global Solar Atlas.</t>
        </is>
      </c>
    </row>
  </sheetData>
  <autoFilter ref="A1:E6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xSplit="0" ySplit="1" topLeftCell="A2" activePane="bottomRight" state="frozen"/>
    </sheetView>
  </sheetViews>
  <sheetFormatPr defaultRowHeight="16"/>
  <cols>
    <col min="1" max="1" width="26" customWidth="1"/>
    <col min="2" max="2" width="20" customWidth="1"/>
    <col min="3" max="3" width="22" customWidth="1"/>
    <col min="4" max="4" width="42" customWidth="1"/>
    <col min="5" max="5" width="42" customWidth="1"/>
    <col min="6" max="6" width="22" customWidth="1"/>
    <col min="7" max="7" width="78" customWidth="1"/>
  </cols>
  <sheetData>
    <row r="1">
      <c r="A1" t="inlineStr" s="1">
        <is>
          <t>region</t>
        </is>
      </c>
      <c r="B1" t="inlineStr" s="1">
        <is>
          <t>retail_tariff_rub_kwh</t>
        </is>
      </c>
      <c r="C1" t="inlineStr" s="1">
        <is>
          <t>export_tariff_rub_kwh</t>
        </is>
      </c>
      <c r="D1" t="inlineStr" s="1">
        <is>
          <t>retail_source_url</t>
        </is>
      </c>
      <c r="E1" t="inlineStr" s="1">
        <is>
          <t>export_source_url</t>
        </is>
      </c>
      <c r="F1" t="inlineStr" s="1">
        <is>
          <t>data_status</t>
        </is>
      </c>
      <c r="G1" t="inlineStr" s="1">
        <is>
          <t>notes</t>
        </is>
      </c>
    </row>
    <row r="2">
      <c r="A2" t="inlineStr">
        <is>
          <t>Moscow starter</t>
        </is>
      </c>
      <c r="B2">
        <v>8.5</v>
      </c>
      <c r="C2">
        <v>3.5</v>
      </c>
      <c r="D2" t="inlineStr">
        <is>
          <t>https://www.mosenergosbyt.ru/</t>
        </is>
      </c>
      <c r="E2" t="inlineStr">
        <is>
          <t>https://www.atsenergo.ru/</t>
        </is>
      </c>
      <c r="F2" t="inlineStr">
        <is>
          <t>seed_verify_source</t>
        </is>
      </c>
      <c r="G2" t="inlineStr">
        <is>
          <t>Starter values only; verify current retail tariff and microgeneration purchase price for exact supplier/date.</t>
        </is>
      </c>
    </row>
    <row r="3">
      <c r="A3" t="inlineStr">
        <is>
          <t>Saint Petersburg starter</t>
        </is>
      </c>
      <c r="B3">
        <v>7.8</v>
      </c>
      <c r="C3">
        <v>3.3</v>
      </c>
      <c r="D3" t="inlineStr">
        <is>
          <t>https://www.pes.spb.ru/</t>
        </is>
      </c>
      <c r="E3" t="inlineStr">
        <is>
          <t>https://www.atsenergo.ru/</t>
        </is>
      </c>
      <c r="F3" t="inlineStr">
        <is>
          <t>seed_verify_source</t>
        </is>
      </c>
      <c r="G3" t="inlineStr">
        <is>
          <t>Starter values only; verify current retail tariff and microgeneration purchase price for exact supplier/date.</t>
        </is>
      </c>
    </row>
    <row r="4">
      <c r="A4" t="inlineStr">
        <is>
          <t>Krasnodar starter</t>
        </is>
      </c>
      <c r="B4">
        <v>7.2</v>
      </c>
      <c r="C4">
        <v>3.2</v>
      </c>
      <c r="D4" t="inlineStr">
        <is>
          <t>https://kuban.tns-e.ru/</t>
        </is>
      </c>
      <c r="E4" t="inlineStr">
        <is>
          <t>https://www.atsenergo.ru/</t>
        </is>
      </c>
      <c r="F4" t="inlineStr">
        <is>
          <t>seed_verify_source</t>
        </is>
      </c>
      <c r="G4" t="inlineStr">
        <is>
          <t>Starter values only; verify current retail tariff and microgeneration purchase price for exact supplier/date.</t>
        </is>
      </c>
    </row>
    <row r="5">
      <c r="A5" t="inlineStr">
        <is>
          <t>Rostov-on-Don starter</t>
        </is>
      </c>
      <c r="B5">
        <v>7.3</v>
      </c>
      <c r="C5">
        <v>3.2</v>
      </c>
      <c r="D5" t="inlineStr">
        <is>
          <t>https://rostov.tns-e.ru/</t>
        </is>
      </c>
      <c r="E5" t="inlineStr">
        <is>
          <t>https://www.atsenergo.ru/</t>
        </is>
      </c>
      <c r="F5" t="inlineStr">
        <is>
          <t>seed_verify_source</t>
        </is>
      </c>
      <c r="G5" t="inlineStr">
        <is>
          <t>Starter values only; verify current retail tariff and microgeneration purchase price for exact supplier/date.</t>
        </is>
      </c>
    </row>
    <row r="6">
      <c r="A6" t="inlineStr">
        <is>
          <t>Yekaterinburg starter</t>
        </is>
      </c>
      <c r="B6">
        <v>7.0</v>
      </c>
      <c r="C6">
        <v>3.1</v>
      </c>
      <c r="D6" t="inlineStr">
        <is>
          <t>https://ekb.esplus.ru/</t>
        </is>
      </c>
      <c r="E6" t="inlineStr">
        <is>
          <t>https://www.atsenergo.ru/</t>
        </is>
      </c>
      <c r="F6" t="inlineStr">
        <is>
          <t>seed_verify_source</t>
        </is>
      </c>
      <c r="G6" t="inlineStr">
        <is>
          <t>Starter values only; verify current retail tariff and microgeneration purchase price for exact supplier/date.</t>
        </is>
      </c>
    </row>
  </sheetData>
  <autoFilter ref="A1:G6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xSplit="0" ySplit="1" topLeftCell="A2" activePane="bottomRight" state="frozen"/>
    </sheetView>
  </sheetViews>
  <sheetFormatPr defaultRowHeight="16"/>
  <cols>
    <col min="1" max="1" width="34" customWidth="1"/>
    <col min="2" max="2" width="16" customWidth="1"/>
    <col min="3" max="3" width="72" customWidth="1"/>
    <col min="4" max="4" width="34" customWidth="1"/>
  </cols>
  <sheetData>
    <row r="1">
      <c r="A1" t="inlineStr" s="1">
        <is>
          <t>Compatibility Matrix</t>
        </is>
      </c>
      <c r="B1" t="inlineStr" s="1">
        <is>
          <t>Status</t>
        </is>
      </c>
      <c r="C1" t="inlineStr" s="1">
        <is>
          <t>Reason</t>
        </is>
      </c>
      <c r="D1" t="inlineStr" s="1">
        <is>
          <t>Source</t>
        </is>
      </c>
    </row>
    <row r="2">
      <c r="A2" t="inlineStr">
        <is>
          <t>Selected inverter</t>
        </is>
      </c>
      <c r="B2" s="3">
        <f>Inputs!B3</f>
      </c>
      <c r="C2" t="inlineStr">
        <is>
          <t/>
        </is>
      </c>
      <c r="D2" t="inlineStr">
        <is>
          <t>Inputs</t>
        </is>
      </c>
    </row>
    <row r="3">
      <c r="A3" t="inlineStr">
        <is>
          <t>Selected panel</t>
        </is>
      </c>
      <c r="B3" s="3">
        <f>Inputs!B4</f>
      </c>
      <c r="C3" t="inlineStr">
        <is>
          <t/>
        </is>
      </c>
      <c r="D3" t="inlineStr">
        <is>
          <t>Inputs</t>
        </is>
      </c>
    </row>
    <row r="4">
      <c r="A4" t="inlineStr">
        <is>
          <t>Selected battery</t>
        </is>
      </c>
      <c r="B4" s="3">
        <f>Inputs!B9</f>
      </c>
      <c r="C4" t="inlineStr">
        <is>
          <t/>
        </is>
      </c>
      <c r="D4" t="inlineStr">
        <is>
          <t>Inputs</t>
        </is>
      </c>
    </row>
    <row r="5">
      <c r="A5" t="inlineStr">
        <is>
          <t>PV voltage/current</t>
        </is>
      </c>
      <c r="B5" s="3">
        <f>Results!B25</f>
      </c>
      <c r="C5">
        <f>IF(B5="PASS","PV voltage/current checks pass","PV voltage/current check failed")</f>
      </c>
      <c r="D5" t="inlineStr">
        <is>
          <t>Results</t>
        </is>
      </c>
    </row>
    <row r="6">
      <c r="A6" t="inlineStr">
        <is>
          <t>Battery compatibility</t>
        </is>
      </c>
      <c r="B6" s="3">
        <f>IF(ISNUMBER(SEARCH("Deye",Results!B30)),"PASS",IF(ISNUMBER(SEARCH("compatible",Results!B30)),"VERIFY","VERIFY"))</f>
      </c>
      <c r="C6">
        <f>Results!B30</f>
      </c>
      <c r="D6" t="inlineStr">
        <is>
          <t>Batteries</t>
        </is>
      </c>
    </row>
    <row r="7">
      <c r="A7" t="inlineStr">
        <is>
          <t>Data completeness</t>
        </is>
      </c>
      <c r="B7" s="3">
        <f>IF(OR(INDEX(Inverters!Q:Q,MATCH(B2,Inverters!C:C,0))="model_only_needs_datasheet",INDEX(Panels!O:O,MATCH(B3,Panels!C:C,0))="model_only_needs_datasheet",INDEX(Batteries!N:N,MATCH(B4,Batteries!C:C,0))="model_only_needs_datasheet"),"VERIFY","PASS")</f>
      </c>
      <c r="C7">
        <f>IF(B7="VERIFY","One or more selected records need datasheet parameters","Selected records have starter or verified data")</f>
      </c>
      <c r="D7" t="inlineStr">
        <is>
          <t>Databases</t>
        </is>
      </c>
    </row>
    <row r="8">
      <c r="A8" t="inlineStr">
        <is>
          <t>Overall compatibility</t>
        </is>
      </c>
      <c r="B8" s="3">
        <f>IF(B5="FAIL","FAIL",IF(OR(B6="VERIFY",B7="VERIFY"),"VERIFY","PASS"))</f>
      </c>
      <c r="C8">
        <f>IF(B8="PASS","Selected system is preliminarily compatible",IF(B8="FAIL","Selected system fails at least one electrical check","Selected system needs datasheet verification"))</f>
      </c>
      <c r="D8" t="inlineStr">
        <is>
          <t>Combined result</t>
        </is>
      </c>
    </row>
    <row r="9"/>
    <row r="10">
      <c r="A10" t="inlineStr" s="1">
        <is>
          <t>Check</t>
        </is>
      </c>
      <c r="B10" t="inlineStr" s="1">
        <is>
          <t>Status</t>
        </is>
      </c>
      <c r="C10" t="inlineStr" s="1">
        <is>
          <t>Reason</t>
        </is>
      </c>
      <c r="D10" t="inlineStr" s="1">
        <is>
          <t>Next action</t>
        </is>
      </c>
    </row>
    <row r="11">
      <c r="A11" t="inlineStr">
        <is>
          <t>Cold Voc vs max PV voltage</t>
        </is>
      </c>
      <c r="B11" s="3">
        <f>Results!B23</f>
      </c>
      <c r="C11">
        <f>IF(B11="PASS","Cold string Voc is below inverter max PV voltage","Cold string Voc exceeds inverter max PV voltage")</f>
      </c>
      <c r="D11" t="inlineStr">
        <is>
          <t>Adjust panels per string or inverter</t>
        </is>
      </c>
    </row>
    <row r="12">
      <c r="A12" t="inlineStr">
        <is>
          <t>Hot Vmp vs MPPT range</t>
        </is>
      </c>
      <c r="B12" s="3">
        <f>Results!B22</f>
      </c>
      <c r="C12">
        <f>IF(B12="PASS","Hot string Vmp is inside MPPT range","Hot string Vmp is outside MPPT range")</f>
      </c>
      <c r="D12" t="inlineStr">
        <is>
          <t>Adjust panels per string</t>
        </is>
      </c>
    </row>
    <row r="13">
      <c r="A13" t="inlineStr">
        <is>
          <t>Panel current vs MPPT current</t>
        </is>
      </c>
      <c r="B13" s="3">
        <f>Results!B24</f>
      </c>
      <c r="C13">
        <f>IF(B13="PASS","Panel current is within MPPT current limit","Panel current exceeds MPPT current limit")</f>
      </c>
      <c r="D13" t="inlineStr">
        <is>
          <t>Adjust strings per MPPT or inverter</t>
        </is>
      </c>
    </row>
    <row r="14">
      <c r="A14" t="inlineStr">
        <is>
          <t>Battery protocol</t>
        </is>
      </c>
      <c r="B14" s="3">
        <f>B6</f>
      </c>
      <c r="C14">
        <f>Results!B30</f>
      </c>
      <c r="D14" t="inlineStr">
        <is>
          <t>Verify CAN/RS485 settings</t>
        </is>
      </c>
    </row>
    <row r="15">
      <c r="A15" t="inlineStr">
        <is>
          <t>Required datasheet data</t>
        </is>
      </c>
      <c r="B15" s="3">
        <f>B7</f>
      </c>
      <c r="C15">
        <f>C7</f>
      </c>
      <c r="D15" t="inlineStr">
        <is>
          <t>Fill missing database fields</t>
        </is>
      </c>
    </row>
  </sheetData>
  <conditionalFormatting sqref="B5:B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conditionalFormatting sqref="B11:B1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