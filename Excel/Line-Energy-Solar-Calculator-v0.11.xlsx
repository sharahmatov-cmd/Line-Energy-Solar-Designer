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Equipment" sheetId="8" r:id="rId8"/>
    <sheet name="CableProtection" sheetId="9" r:id="rId9"/>
    <sheet name="CableSizing" sheetId="10" r:id="rId10"/>
    <sheet name="ProtectionRules" sheetId="11" r:id="rId11"/>
    <sheet name="SpdRules" sheetId="12" r:id="rId12"/>
    <sheet name="EarthingRules" sheetId="13" r:id="rId13"/>
    <sheet name="CableDerating" sheetId="14" r:id="rId14"/>
    <sheet name="MountingRules" sheetId="15" r:id="rId15"/>
    <sheet name="Compatibility" sheetId="16" r:id="rId16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8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v0.11.0-draft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  <row r="21">
      <c r="A21" t="inlineStr">
        <is>
          <t>Equipment list items</t>
        </is>
      </c>
      <c r="B21" s="3">
        <f>COUNTA(Equipment!A2:A35)</f>
      </c>
      <c r="C21" t="inlineStr">
        <is>
          <t>items</t>
        </is>
      </c>
      <c r="D21" t="inlineStr">
        <is>
          <t>Generated equipment output</t>
        </is>
      </c>
    </row>
    <row r="22">
      <c r="A22" t="inlineStr">
        <is>
          <t>Protection items</t>
        </is>
      </c>
      <c r="B22" s="3">
        <f>COUNTA(CableProtection!A2:A32)</f>
      </c>
      <c r="C22" t="inlineStr">
        <is>
          <t>items</t>
        </is>
      </c>
      <c r="D22" t="inlineStr">
        <is>
          <t>Generated protection output</t>
        </is>
      </c>
    </row>
    <row r="23">
      <c r="A23" t="inlineStr">
        <is>
          <t>DC cable section</t>
        </is>
      </c>
      <c r="B23" s="3">
        <f>CableProtection!B15</f>
      </c>
      <c r="C23" t="inlineStr">
        <is>
          <t>mm2</t>
        </is>
      </c>
      <c r="D23" t="inlineStr">
        <is>
          <t>Starter sizing</t>
        </is>
      </c>
    </row>
    <row r="24">
      <c r="A24" t="inlineStr">
        <is>
          <t>AC cable section</t>
        </is>
      </c>
      <c r="B24" s="3">
        <f>CableProtection!B19</f>
      </c>
      <c r="C24" t="inlineStr">
        <is>
          <t>mm2</t>
        </is>
      </c>
      <c r="D24" t="inlineStr">
        <is>
          <t>Starter sizing</t>
        </is>
      </c>
    </row>
    <row r="25">
      <c r="A25" t="inlineStr">
        <is>
          <t>Battery cable section</t>
        </is>
      </c>
      <c r="B25" s="3">
        <f>CableProtection!B24</f>
      </c>
      <c r="C25" t="inlineStr">
        <is>
          <t>mm2</t>
        </is>
      </c>
      <c r="D25" t="inlineStr">
        <is>
          <t>Starter sizing</t>
        </is>
      </c>
    </row>
    <row r="26">
      <c r="A26" t="inlineStr">
        <is>
          <t>SPD recommendation</t>
        </is>
      </c>
      <c r="B26" s="3">
        <f>CableProtection!B28</f>
      </c>
      <c r="C26" t="inlineStr">
        <is>
          <t/>
        </is>
      </c>
      <c r="D26" t="inlineStr">
        <is>
          <t>Starter protection selection</t>
        </is>
      </c>
    </row>
    <row r="27">
      <c r="A27" t="inlineStr">
        <is>
          <t>Earthing system</t>
        </is>
      </c>
      <c r="B27" s="3">
        <f>CableProtection!B29</f>
      </c>
      <c r="C27" t="inlineStr">
        <is>
          <t/>
        </is>
      </c>
      <c r="D27" t="inlineStr">
        <is>
          <t>Selected AC earthing system</t>
        </is>
      </c>
    </row>
    <row r="28">
      <c r="A28" t="inlineStr">
        <is>
          <t>Cable derating factor</t>
        </is>
      </c>
      <c r="B28" s="3">
        <f>CableProtection!B30</f>
      </c>
      <c r="C28" t="inlineStr">
        <is>
          <t>factor</t>
        </is>
      </c>
      <c r="D28" t="inlineStr">
        <is>
          <t>Grouping x ambient factors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v0.11.0-draft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DC cable route length</t>
        </is>
      </c>
      <c r="B17" s="4">
        <v>30</v>
      </c>
      <c r="C17" t="inlineStr">
        <is>
          <t>m</t>
        </is>
      </c>
      <c r="D17" t="inlineStr">
        <is>
          <t>One-way route length estimate</t>
        </is>
      </c>
    </row>
    <row r="18">
      <c r="A18" t="inlineStr">
        <is>
          <t>AC cable route length</t>
        </is>
      </c>
      <c r="B18" s="4">
        <v>20</v>
      </c>
      <c r="C18" t="inlineStr">
        <is>
          <t>m</t>
        </is>
      </c>
      <c r="D18" t="inlineStr">
        <is>
          <t>One-way route length estimate</t>
        </is>
      </c>
    </row>
    <row r="19">
      <c r="A19" t="inlineStr">
        <is>
          <t>Grounding cable route length</t>
        </is>
      </c>
      <c r="B19" s="4">
        <v>25</v>
      </c>
      <c r="C19" t="inlineStr">
        <is>
          <t>m</t>
        </is>
      </c>
      <c r="D19" t="inlineStr">
        <is>
          <t>Grounding route length estimate</t>
        </is>
      </c>
    </row>
    <row r="20">
      <c r="A20" t="inlineStr">
        <is>
          <t>Installation method</t>
        </is>
      </c>
      <c r="B20" t="inlineStr" s="4">
        <is>
          <t>Open air</t>
        </is>
      </c>
      <c r="C20" t="inlineStr">
        <is>
          <t/>
        </is>
      </c>
      <c r="D20" t="inlineStr">
        <is>
          <t>Used for cable derating notes</t>
        </is>
      </c>
    </row>
    <row r="21">
      <c r="A21" t="inlineStr">
        <is>
          <t>Cable grouping derating</t>
        </is>
      </c>
      <c r="B21" s="4">
        <v>1</v>
      </c>
      <c r="C21" t="inlineStr">
        <is>
          <t>factor</t>
        </is>
      </c>
      <c r="D21" t="inlineStr">
        <is>
          <t>Starter factor; adjust by local rules</t>
        </is>
      </c>
    </row>
    <row r="22">
      <c r="A22" t="inlineStr">
        <is>
          <t>Ambient temperature derating</t>
        </is>
      </c>
      <c r="B22" s="4">
        <v>1</v>
      </c>
      <c r="C22" t="inlineStr">
        <is>
          <t>factor</t>
        </is>
      </c>
      <c r="D22" t="inlineStr">
        <is>
          <t>Starter factor; adjust by local rules</t>
        </is>
      </c>
    </row>
    <row r="23">
      <c r="A23" t="inlineStr">
        <is>
          <t>Lightning protection system</t>
        </is>
      </c>
      <c r="B23" t="inlineStr" s="4">
        <is>
          <t>No external LPS</t>
        </is>
      </c>
      <c r="C23" t="inlineStr">
        <is>
          <t/>
        </is>
      </c>
      <c r="D23" t="inlineStr">
        <is>
          <t>Used for SPD type suggestion</t>
        </is>
      </c>
    </row>
    <row r="24">
      <c r="A24" t="inlineStr">
        <is>
          <t>AC earthing system</t>
        </is>
      </c>
      <c r="B24" t="inlineStr" s="4">
        <is>
          <t>TN-S</t>
        </is>
      </c>
      <c r="C24" t="inlineStr">
        <is>
          <t/>
        </is>
      </c>
      <c r="D24" t="inlineStr">
        <is>
          <t>Used for earthing checklist</t>
        </is>
      </c>
    </row>
    <row r="25">
      <c r="A25" t="inlineStr">
        <is>
          <t>Design note</t>
        </is>
      </c>
      <c r="B25" t="inlineStr">
        <is>
          <t>Starter calculation only</t>
        </is>
      </c>
      <c r="C25" t="inlineStr">
        <is>
          <t/>
        </is>
      </c>
      <c r="D25" t="inlineStr">
        <is>
          <t>Verify datasheets and mounting manuals before commercial use</t>
        </is>
      </c>
    </row>
  </sheetData>
  <dataValidations count="7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  <dataValidation type="list" allowBlank="0" showInputMessage="1" sqref="B20" promptTitle="Installation method" prompt="Choose cable installation method">
      <formula1>Open air,Conduit or trunking,Thermal insulation</formula1>
    </dataValidation>
    <dataValidation type="list" allowBlank="0" showInputMessage="1" sqref="B23" promptTitle="Lightning protection" prompt="Choose lightning protection condition">
      <formula1>No external LPS,External LPS,Overhead supply,Long outdoor DC route</formula1>
    </dataValidation>
    <dataValidation type="list" allowBlank="0" showInputMessage="1" sqref="B24" promptTitle="Earthing system" prompt="Choose AC earthing system">
      <formula1>TN-S,TN-C-S,TT,IT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3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42" customWidth="1"/>
    <col min="3" max="3" width="14" customWidth="1"/>
    <col min="4" max="4" width="10" customWidth="1"/>
    <col min="5" max="5" width="52" customWidth="1"/>
  </cols>
  <sheetData>
    <row r="1">
      <c r="A1" t="inlineStr" s="1">
        <is>
          <t>Category</t>
        </is>
      </c>
      <c r="B1" t="inlineStr" s="1">
        <is>
          <t>Item</t>
        </is>
      </c>
      <c r="C1" t="inlineStr" s="1">
        <is>
          <t>Quantity</t>
        </is>
      </c>
      <c r="D1" t="inlineStr" s="1">
        <is>
          <t>Unit</t>
        </is>
      </c>
      <c r="E1" t="inlineStr" s="1">
        <is>
          <t>Notes</t>
        </is>
      </c>
    </row>
    <row r="2">
      <c r="A2" t="inlineStr">
        <is>
          <t>Inverter</t>
        </is>
      </c>
      <c r="B2">
        <f>Inputs!B3</f>
      </c>
      <c r="C2" s="3">
        <v>1</v>
      </c>
      <c r="D2" t="inlineStr">
        <is>
          <t>pcs</t>
        </is>
      </c>
      <c r="E2" t="inlineStr">
        <is>
          <t>Selected inverter</t>
        </is>
      </c>
    </row>
    <row r="3">
      <c r="A3" t="inlineStr">
        <is>
          <t>Solar panels</t>
        </is>
      </c>
      <c r="B3">
        <f>Inputs!B4</f>
      </c>
      <c r="C3" s="3">
        <f>Inputs!B12</f>
      </c>
      <c r="D3" t="inlineStr">
        <is>
          <t>pcs</t>
        </is>
      </c>
      <c r="E3" t="inlineStr">
        <is>
          <t>Total panel quantity</t>
        </is>
      </c>
    </row>
    <row r="4">
      <c r="A4" t="inlineStr">
        <is>
          <t>Battery</t>
        </is>
      </c>
      <c r="B4">
        <f>Inputs!B9</f>
      </c>
      <c r="C4" s="3">
        <f>Inputs!B10</f>
      </c>
      <c r="D4" t="inlineStr">
        <is>
          <t>pcs</t>
        </is>
      </c>
      <c r="E4" t="inlineStr">
        <is>
          <t>Selected battery quantity</t>
        </is>
      </c>
    </row>
    <row r="5">
      <c r="A5" t="inlineStr">
        <is>
          <t>Battery energy</t>
        </is>
      </c>
      <c r="B5">
        <f>Inputs!B9&amp;" total nominal energy"</f>
      </c>
      <c r="C5" s="3">
        <f>Results!B29</f>
      </c>
      <c r="D5" t="inlineStr">
        <is>
          <t>kWh</t>
        </is>
      </c>
      <c r="E5" t="inlineStr">
        <is>
          <t>Total nominal battery energy</t>
        </is>
      </c>
    </row>
    <row r="6">
      <c r="A6" t="inlineStr">
        <is>
          <t>Mounting</t>
        </is>
      </c>
      <c r="B6" t="inlineStr">
        <is>
          <t>Roof hooks / seam clamps</t>
        </is>
      </c>
      <c r="C6" s="3">
        <f>Mounting!B11</f>
      </c>
      <c r="D6" t="inlineStr">
        <is>
          <t>pcs</t>
        </is>
      </c>
      <c r="E6" t="inlineStr">
        <is>
          <t>From Mounting sheet</t>
        </is>
      </c>
    </row>
    <row r="7">
      <c r="A7" t="inlineStr">
        <is>
          <t>Mounting</t>
        </is>
      </c>
      <c r="B7" t="inlineStr">
        <is>
          <t>Mini-rails</t>
        </is>
      </c>
      <c r="C7" s="3">
        <f>Mounting!B12</f>
      </c>
      <c r="D7" t="inlineStr">
        <is>
          <t>pcs</t>
        </is>
      </c>
      <c r="E7" t="inlineStr">
        <is>
          <t>From Mounting sheet</t>
        </is>
      </c>
    </row>
    <row r="8">
      <c r="A8" t="inlineStr">
        <is>
          <t>Mounting</t>
        </is>
      </c>
      <c r="B8" t="inlineStr">
        <is>
          <t>Rails</t>
        </is>
      </c>
      <c r="C8" s="3">
        <f>Mounting!B13</f>
      </c>
      <c r="D8" t="inlineStr">
        <is>
          <t>pcs</t>
        </is>
      </c>
      <c r="E8" t="inlineStr">
        <is>
          <t>From Mounting sheet</t>
        </is>
      </c>
    </row>
    <row r="9">
      <c r="A9" t="inlineStr">
        <is>
          <t>Mounting</t>
        </is>
      </c>
      <c r="B9" t="inlineStr">
        <is>
          <t>Rail connectors</t>
        </is>
      </c>
      <c r="C9" s="3">
        <f>Mounting!B14</f>
      </c>
      <c r="D9" t="inlineStr">
        <is>
          <t>pcs</t>
        </is>
      </c>
      <c r="E9" t="inlineStr">
        <is>
          <t>From Mounting sheet</t>
        </is>
      </c>
    </row>
    <row r="10">
      <c r="A10" t="inlineStr">
        <is>
          <t>Mounting</t>
        </is>
      </c>
      <c r="B10" t="inlineStr">
        <is>
          <t>End clamps</t>
        </is>
      </c>
      <c r="C10" s="3">
        <f>Mounting!B15</f>
      </c>
      <c r="D10" t="inlineStr">
        <is>
          <t>pcs</t>
        </is>
      </c>
      <c r="E10" t="inlineStr">
        <is>
          <t>From Mounting sheet</t>
        </is>
      </c>
    </row>
    <row r="11">
      <c r="A11" t="inlineStr">
        <is>
          <t>Mounting</t>
        </is>
      </c>
      <c r="B11" t="inlineStr">
        <is>
          <t>Middle clamps</t>
        </is>
      </c>
      <c r="C11" s="3">
        <f>Mounting!B16</f>
      </c>
      <c r="D11" t="inlineStr">
        <is>
          <t>pcs</t>
        </is>
      </c>
      <c r="E11" t="inlineStr">
        <is>
          <t>From Mounting sheet</t>
        </is>
      </c>
    </row>
    <row r="12">
      <c r="A12" t="inlineStr">
        <is>
          <t>Mounting</t>
        </is>
      </c>
      <c r="B12" t="inlineStr">
        <is>
          <t>Bolt sets</t>
        </is>
      </c>
      <c r="C12" s="3">
        <f>Mounting!B17</f>
      </c>
      <c r="D12" t="inlineStr">
        <is>
          <t>pcs</t>
        </is>
      </c>
      <c r="E12" t="inlineStr">
        <is>
          <t>From Mounting sheet</t>
        </is>
      </c>
    </row>
    <row r="13">
      <c r="A13" t="inlineStr">
        <is>
          <t>Mounting</t>
        </is>
      </c>
      <c r="B13" t="inlineStr">
        <is>
          <t>Grounding clips</t>
        </is>
      </c>
      <c r="C13" s="3">
        <f>Mounting!B18</f>
      </c>
      <c r="D13" t="inlineStr">
        <is>
          <t>pcs</t>
        </is>
      </c>
      <c r="E13" t="inlineStr">
        <is>
          <t>From Mounting sheet</t>
        </is>
      </c>
    </row>
    <row r="14">
      <c r="A14" t="inlineStr">
        <is>
          <t>Mounting</t>
        </is>
      </c>
      <c r="B14" t="inlineStr">
        <is>
          <t>Cable clips</t>
        </is>
      </c>
      <c r="C14" s="3">
        <f>Mounting!B19</f>
      </c>
      <c r="D14" t="inlineStr">
        <is>
          <t>pcs</t>
        </is>
      </c>
      <c r="E14" t="inlineStr">
        <is>
          <t>From Mounting sheet</t>
        </is>
      </c>
    </row>
    <row r="15">
      <c r="A15" t="inlineStr">
        <is>
          <t>Protection</t>
        </is>
      </c>
      <c r="B15" t="inlineStr">
        <is>
          <t>PV cable red</t>
        </is>
      </c>
      <c r="C15" s="3">
        <f>CableProtection!B2</f>
      </c>
      <c r="D15" t="inlineStr">
        <is>
          <t>m</t>
        </is>
      </c>
      <c r="E15" t="inlineStr">
        <is>
          <t>From CableProtection sheet</t>
        </is>
      </c>
    </row>
    <row r="16">
      <c r="A16" t="inlineStr">
        <is>
          <t>Protection</t>
        </is>
      </c>
      <c r="B16" t="inlineStr">
        <is>
          <t>PV cable black</t>
        </is>
      </c>
      <c r="C16" s="3">
        <f>CableProtection!B3</f>
      </c>
      <c r="D16" t="inlineStr">
        <is>
          <t>m</t>
        </is>
      </c>
      <c r="E16" t="inlineStr">
        <is>
          <t>From CableProtection sheet</t>
        </is>
      </c>
    </row>
    <row r="17">
      <c r="A17" t="inlineStr">
        <is>
          <t>Protection</t>
        </is>
      </c>
      <c r="B17" t="inlineStr">
        <is>
          <t>PE cable</t>
        </is>
      </c>
      <c r="C17" s="3">
        <f>CableProtection!B4</f>
      </c>
      <c r="D17" t="inlineStr">
        <is>
          <t>m</t>
        </is>
      </c>
      <c r="E17" t="inlineStr">
        <is>
          <t>From CableProtection sheet</t>
        </is>
      </c>
    </row>
    <row r="18">
      <c r="A18" t="inlineStr">
        <is>
          <t>Protection</t>
        </is>
      </c>
      <c r="B18" t="inlineStr">
        <is>
          <t>DC string fuses</t>
        </is>
      </c>
      <c r="C18" s="3">
        <f>CableProtection!B5</f>
      </c>
      <c r="D18" t="inlineStr">
        <is>
          <t>pcs</t>
        </is>
      </c>
      <c r="E18" t="inlineStr">
        <is>
          <t>From CableProtection sheet</t>
        </is>
      </c>
    </row>
    <row r="19">
      <c r="A19" t="inlineStr">
        <is>
          <t>Protection</t>
        </is>
      </c>
      <c r="B19" t="inlineStr">
        <is>
          <t>DC isolator</t>
        </is>
      </c>
      <c r="C19" s="3">
        <f>CableProtection!B6</f>
      </c>
      <c r="D19" t="inlineStr">
        <is>
          <t>pcs</t>
        </is>
      </c>
      <c r="E19" t="inlineStr">
        <is>
          <t>From CableProtection sheet</t>
        </is>
      </c>
    </row>
    <row r="20">
      <c r="A20" t="inlineStr">
        <is>
          <t>Protection</t>
        </is>
      </c>
      <c r="B20" t="inlineStr">
        <is>
          <t>DC SPD Type 2</t>
        </is>
      </c>
      <c r="C20" s="3">
        <f>CableProtection!B7</f>
      </c>
      <c r="D20" t="inlineStr">
        <is>
          <t>pcs</t>
        </is>
      </c>
      <c r="E20" t="inlineStr">
        <is>
          <t>From CableProtection sheet</t>
        </is>
      </c>
    </row>
    <row r="21">
      <c r="A21" t="inlineStr">
        <is>
          <t>Protection</t>
        </is>
      </c>
      <c r="B21" t="inlineStr">
        <is>
          <t>AC breaker</t>
        </is>
      </c>
      <c r="C21" s="3">
        <f>CableProtection!B8</f>
      </c>
      <c r="D21" t="inlineStr">
        <is>
          <t>pcs</t>
        </is>
      </c>
      <c r="E21" t="inlineStr">
        <is>
          <t>From CableProtection sheet</t>
        </is>
      </c>
    </row>
    <row r="22">
      <c r="A22" t="inlineStr">
        <is>
          <t>Protection</t>
        </is>
      </c>
      <c r="B22" t="inlineStr">
        <is>
          <t>AC SPD Type 2</t>
        </is>
      </c>
      <c r="C22" s="3">
        <f>CableProtection!B9</f>
      </c>
      <c r="D22" t="inlineStr">
        <is>
          <t>pcs</t>
        </is>
      </c>
      <c r="E22" t="inlineStr">
        <is>
          <t>From CableProtection sheet</t>
        </is>
      </c>
    </row>
    <row r="23">
      <c r="A23" t="inlineStr">
        <is>
          <t>Protection</t>
        </is>
      </c>
      <c r="B23" t="inlineStr">
        <is>
          <t>AC cable</t>
        </is>
      </c>
      <c r="C23" s="3">
        <f>CableProtection!B10</f>
      </c>
      <c r="D23" t="inlineStr">
        <is>
          <t>m</t>
        </is>
      </c>
      <c r="E23" t="inlineStr">
        <is>
          <t>From CableProtection sheet</t>
        </is>
      </c>
    </row>
    <row r="24">
      <c r="A24" t="inlineStr">
        <is>
          <t>Protection</t>
        </is>
      </c>
      <c r="B24" t="inlineStr">
        <is>
          <t>Battery DC cable pair</t>
        </is>
      </c>
      <c r="C24" s="3">
        <f>CableProtection!B11</f>
      </c>
      <c r="D24" t="inlineStr">
        <is>
          <t>pair</t>
        </is>
      </c>
      <c r="E24" t="inlineStr">
        <is>
          <t>From CableProtection sheet</t>
        </is>
      </c>
    </row>
    <row r="25">
      <c r="A25" t="inlineStr">
        <is>
          <t>Protection</t>
        </is>
      </c>
      <c r="B25" t="inlineStr">
        <is>
          <t>Battery fuse or breaker</t>
        </is>
      </c>
      <c r="C25" s="3">
        <f>CableProtection!B12</f>
      </c>
      <c r="D25" t="inlineStr">
        <is>
          <t>pcs</t>
        </is>
      </c>
      <c r="E25" t="inlineStr">
        <is>
          <t>From CableProtection sheet</t>
        </is>
      </c>
    </row>
    <row r="26">
      <c r="A26" t="inlineStr">
        <is>
          <t>Sizing</t>
        </is>
      </c>
      <c r="B26" t="inlineStr">
        <is>
          <t>Recommended DC cable section</t>
        </is>
      </c>
      <c r="C26" s="3">
        <f>CableProtection!B15</f>
      </c>
      <c r="D26" t="inlineStr">
        <is>
          <t>mm2</t>
        </is>
      </c>
      <c r="E26" t="inlineStr">
        <is>
          <t>Starter sizing; verify installation method</t>
        </is>
      </c>
    </row>
    <row r="27">
      <c r="A27" t="inlineStr">
        <is>
          <t>Sizing</t>
        </is>
      </c>
      <c r="B27" t="inlineStr">
        <is>
          <t>DC voltage drop</t>
        </is>
      </c>
      <c r="C27" s="3">
        <f>CableProtection!B16</f>
      </c>
      <c r="D27" t="inlineStr">
        <is>
          <t>%</t>
        </is>
      </c>
      <c r="E27" t="inlineStr">
        <is>
          <t>Starter voltage-drop estimate</t>
        </is>
      </c>
    </row>
    <row r="28">
      <c r="A28" t="inlineStr">
        <is>
          <t>Sizing</t>
        </is>
      </c>
      <c r="B28" t="inlineStr">
        <is>
          <t>Recommended AC cable section</t>
        </is>
      </c>
      <c r="C28" s="3">
        <f>CableProtection!B19</f>
      </c>
      <c r="D28" t="inlineStr">
        <is>
          <t>mm2</t>
        </is>
      </c>
      <c r="E28" t="inlineStr">
        <is>
          <t>Starter sizing; verify installation method</t>
        </is>
      </c>
    </row>
    <row r="29">
      <c r="A29" t="inlineStr">
        <is>
          <t>Sizing</t>
        </is>
      </c>
      <c r="B29" t="inlineStr">
        <is>
          <t>AC voltage drop</t>
        </is>
      </c>
      <c r="C29" s="3">
        <f>CableProtection!B20</f>
      </c>
      <c r="D29" t="inlineStr">
        <is>
          <t>%</t>
        </is>
      </c>
      <c r="E29" t="inlineStr">
        <is>
          <t>Starter voltage-drop estimate</t>
        </is>
      </c>
    </row>
    <row r="30">
      <c r="A30" t="inlineStr">
        <is>
          <t>Sizing</t>
        </is>
      </c>
      <c r="B30" t="inlineStr">
        <is>
          <t>Recommended battery cable section</t>
        </is>
      </c>
      <c r="C30" s="3">
        <f>CableProtection!B24</f>
      </c>
      <c r="D30" t="inlineStr">
        <is>
          <t>mm2</t>
        </is>
      </c>
      <c r="E30" t="inlineStr">
        <is>
          <t>Starter sizing; verify installation method</t>
        </is>
      </c>
    </row>
    <row r="31">
      <c r="A31" t="inlineStr">
        <is>
          <t>Sizing</t>
        </is>
      </c>
      <c r="B31" t="inlineStr">
        <is>
          <t>Estimated battery current</t>
        </is>
      </c>
      <c r="C31" s="3">
        <f>CableProtection!B23</f>
      </c>
      <c r="D31" t="inlineStr">
        <is>
          <t>A</t>
        </is>
      </c>
      <c r="E31" t="inlineStr">
        <is>
          <t>Inverter power / battery voltage</t>
        </is>
      </c>
    </row>
    <row r="32">
      <c r="A32" t="inlineStr">
        <is>
          <t>Sizing</t>
        </is>
      </c>
      <c r="B32" t="inlineStr">
        <is>
          <t>Cable derating factor</t>
        </is>
      </c>
      <c r="C32" s="3">
        <f>CableProtection!B30</f>
      </c>
      <c r="D32" t="inlineStr">
        <is>
          <t>factor</t>
        </is>
      </c>
      <c r="E32" t="inlineStr">
        <is>
          <t>Grouping x ambient derating</t>
        </is>
      </c>
    </row>
    <row r="33">
      <c r="A33" t="inlineStr">
        <is>
          <t>Protection</t>
        </is>
      </c>
      <c r="B33" t="inlineStr">
        <is>
          <t>Recommended SPD type</t>
        </is>
      </c>
      <c r="C33" s="3">
        <f>CableProtection!B28</f>
      </c>
      <c r="D33" t="inlineStr">
        <is>
          <t/>
        </is>
      </c>
      <c r="E33" t="inlineStr">
        <is>
          <t>Starter selection; verify local standards</t>
        </is>
      </c>
    </row>
    <row r="34">
      <c r="A34" t="inlineStr">
        <is>
          <t>Protection</t>
        </is>
      </c>
      <c r="B34" t="inlineStr">
        <is>
          <t>AC earthing system</t>
        </is>
      </c>
      <c r="C34" s="3">
        <f>CableProtection!B29</f>
      </c>
      <c r="D34" t="inlineStr">
        <is>
          <t/>
        </is>
      </c>
      <c r="E34" t="inlineStr">
        <is>
          <t>Selected earthing checklist</t>
        </is>
      </c>
    </row>
    <row r="35">
      <c r="A35" t="inlineStr">
        <is>
          <t>Documentation</t>
        </is>
      </c>
      <c r="B35" t="inlineStr">
        <is>
          <t>Datasheet verification</t>
        </is>
      </c>
      <c r="C35">
        <v>1</v>
      </c>
      <c r="D35" t="inlineStr">
        <is>
          <t>task</t>
        </is>
      </c>
      <c r="E35" t="inlineStr">
        <is>
          <t>Required before commercial use</t>
        </is>
      </c>
    </row>
  </sheetData>
  <autoFilter ref="A1:E35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3"/>
  <sheetViews>
    <sheetView workbookViewId="0">
      <pane xSplit="0" ySplit="1" topLeftCell="A2" activePane="bottomRight" state="frozen"/>
    </sheetView>
  </sheetViews>
  <sheetFormatPr defaultRowHeight="16"/>
  <cols>
    <col min="1" max="1" width="32" customWidth="1"/>
    <col min="2" max="2" width="16" customWidth="1"/>
    <col min="3" max="3" width="10" customWidth="1"/>
    <col min="4" max="4" width="64" customWidth="1"/>
  </cols>
  <sheetData>
    <row r="1">
      <c r="A1" t="inlineStr" s="1">
        <is>
          <t>Cable / Protection item</t>
        </is>
      </c>
      <c r="B1" t="inlineStr" s="1">
        <is>
          <t>Quantity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PV cable red</t>
        </is>
      </c>
      <c r="B2" s="3">
        <f>Inputs!B17</f>
      </c>
      <c r="C2" t="inlineStr">
        <is>
          <t>m</t>
        </is>
      </c>
      <c r="D2" t="inlineStr">
        <is>
          <t>DC cable route length</t>
        </is>
      </c>
    </row>
    <row r="3">
      <c r="A3" t="inlineStr">
        <is>
          <t>PV cable black</t>
        </is>
      </c>
      <c r="B3" s="3">
        <f>Inputs!B17</f>
      </c>
      <c r="C3" t="inlineStr">
        <is>
          <t>m</t>
        </is>
      </c>
      <c r="D3" t="inlineStr">
        <is>
          <t>DC cable route length</t>
        </is>
      </c>
    </row>
    <row r="4">
      <c r="A4" t="inlineStr">
        <is>
          <t>PE cable</t>
        </is>
      </c>
      <c r="B4" s="3">
        <f>Inputs!B19</f>
      </c>
      <c r="C4" t="inlineStr">
        <is>
          <t>m</t>
        </is>
      </c>
      <c r="D4" t="inlineStr">
        <is>
          <t>Grounding route length</t>
        </is>
      </c>
    </row>
    <row r="5">
      <c r="A5" t="inlineStr">
        <is>
          <t>DC string fuses</t>
        </is>
      </c>
      <c r="B5" s="3">
        <f>IF(Inputs!B8&gt;1,Inputs!B8*2,0)</f>
      </c>
      <c r="C5" t="inlineStr">
        <is>
          <t>pcs</t>
        </is>
      </c>
      <c r="D5" t="inlineStr">
        <is>
          <t>Used when strings per MPPT &gt; 1</t>
        </is>
      </c>
    </row>
    <row r="6">
      <c r="A6" t="inlineStr">
        <is>
          <t>DC isolator</t>
        </is>
      </c>
      <c r="B6" s="3">
        <f>1</f>
      </c>
      <c r="C6" t="inlineStr">
        <is>
          <t>pcs</t>
        </is>
      </c>
      <c r="D6" t="inlineStr">
        <is>
          <t>Starter quantity</t>
        </is>
      </c>
    </row>
    <row r="7">
      <c r="A7" t="inlineStr">
        <is>
          <t>DC SPD Type 2</t>
        </is>
      </c>
      <c r="B7" s="3">
        <f>1</f>
      </c>
      <c r="C7" t="inlineStr">
        <is>
          <t>pcs</t>
        </is>
      </c>
      <c r="D7" t="inlineStr">
        <is>
          <t>Starter quantity</t>
        </is>
      </c>
    </row>
    <row r="8">
      <c r="A8" t="inlineStr">
        <is>
          <t>AC breaker</t>
        </is>
      </c>
      <c r="B8" s="3">
        <f>1</f>
      </c>
      <c r="C8" t="inlineStr">
        <is>
          <t>pcs</t>
        </is>
      </c>
      <c r="D8" t="inlineStr">
        <is>
          <t>Starter quantity; rating must be selected</t>
        </is>
      </c>
    </row>
    <row r="9">
      <c r="A9" t="inlineStr">
        <is>
          <t>AC SPD Type 2</t>
        </is>
      </c>
      <c r="B9" s="3">
        <f>1</f>
      </c>
      <c r="C9" t="inlineStr">
        <is>
          <t>pcs</t>
        </is>
      </c>
      <c r="D9" t="inlineStr">
        <is>
          <t>Starter quantity</t>
        </is>
      </c>
    </row>
    <row r="10">
      <c r="A10" t="inlineStr">
        <is>
          <t>AC cable</t>
        </is>
      </c>
      <c r="B10" s="3">
        <f>Inputs!B18</f>
      </c>
      <c r="C10" t="inlineStr">
        <is>
          <t>m</t>
        </is>
      </c>
      <c r="D10" t="inlineStr">
        <is>
          <t>AC cable route length</t>
        </is>
      </c>
    </row>
    <row r="11">
      <c r="A11" t="inlineStr">
        <is>
          <t>Battery DC cable pair</t>
        </is>
      </c>
      <c r="B11" s="3">
        <f>1</f>
      </c>
      <c r="C11" t="inlineStr">
        <is>
          <t>pair</t>
        </is>
      </c>
      <c r="D11" t="inlineStr">
        <is>
          <t>Starter quantity</t>
        </is>
      </c>
    </row>
    <row r="12">
      <c r="A12" t="inlineStr">
        <is>
          <t>Battery fuse or breaker</t>
        </is>
      </c>
      <c r="B12" s="3">
        <f>1</f>
      </c>
      <c r="C12" t="inlineStr">
        <is>
          <t>pcs</t>
        </is>
      </c>
      <c r="D12" t="inlineStr">
        <is>
          <t>Starter quantity; rating must be selected</t>
        </is>
      </c>
    </row>
    <row r="13">
      <c r="A13" t="inlineStr">
        <is>
          <t>Protection design status</t>
        </is>
      </c>
      <c r="B13" s="3">
        <f>"VERIFY"</f>
      </c>
      <c r="C13" t="inlineStr">
        <is>
          <t/>
        </is>
      </c>
      <c r="D13" t="inlineStr">
        <is>
          <t>VERIFY until ratings and cable sections are selected</t>
        </is>
      </c>
    </row>
    <row r="14"/>
    <row r="15">
      <c r="A15" t="inlineStr">
        <is>
          <t>Sizing result</t>
        </is>
      </c>
      <c r="B15" s="3">
        <f>MAX(4,LOOKUP((Results!B12*Inputs!B8)/B30,CableSizing!B:B,CableSizing!A:A))</f>
      </c>
      <c r="C15" t="inlineStr">
        <is>
          <t>Unit</t>
        </is>
      </c>
      <c r="D15" t="inlineStr">
        <is>
          <t>Formula / meaning</t>
        </is>
      </c>
    </row>
    <row r="16">
      <c r="A16" t="inlineStr">
        <is>
          <t>Recommended DC cable section</t>
        </is>
      </c>
      <c r="B16" s="3">
        <f>ROUND(2*Inputs!B17*Results!B12*Inputs!B8*0.0175/(B15*Results!B17)*100,2)</f>
      </c>
      <c r="C16" t="inlineStr">
        <is>
          <t>mm2</t>
        </is>
      </c>
      <c r="D16" t="inlineStr">
        <is>
          <t>Based on PV operating current</t>
        </is>
      </c>
    </row>
    <row r="17">
      <c r="A17" t="inlineStr">
        <is>
          <t>DC voltage drop</t>
        </is>
      </c>
      <c r="B17" s="3">
        <f>LOOKUP(INDEX(Panels!H:H,MATCH(Inputs!B4,Panels!C:C,0))*1.25,{0,16,20,25,32},{16,20,25,32,40})</f>
      </c>
      <c r="C17" t="inlineStr">
        <is>
          <t>%</t>
        </is>
      </c>
      <c r="D17" t="inlineStr">
        <is>
          <t>2 x length x current x copper resistance / section / voltage</t>
        </is>
      </c>
    </row>
    <row r="18">
      <c r="A18" t="inlineStr">
        <is>
          <t>Suggested DC fuse rating</t>
        </is>
      </c>
      <c r="B18" s="3">
        <f>ROUND(INDEX(Inverters!E:E,MATCH(Inputs!B3,Inverters!C:C,0))/IF(INDEX(Inverters!D:D,MATCH(Inputs!B3,Inverters!C:C,0))="three-phase",692.8,230),1)</f>
      </c>
      <c r="C18" t="inlineStr">
        <is>
          <t>A</t>
        </is>
      </c>
      <c r="D18" t="inlineStr">
        <is>
          <t>Based on string short-circuit current</t>
        </is>
      </c>
    </row>
    <row r="19">
      <c r="A19" t="inlineStr">
        <is>
          <t>Estimated AC current</t>
        </is>
      </c>
      <c r="B19" s="3">
        <f>MAX(2.5,LOOKUP(B18/B30,CableSizing!B:B,CableSizing!A:A))</f>
      </c>
      <c r="C19" t="inlineStr">
        <is>
          <t>A</t>
        </is>
      </c>
      <c r="D19" t="inlineStr">
        <is>
          <t>Based on inverter AC power and phase</t>
        </is>
      </c>
    </row>
    <row r="20">
      <c r="A20" t="inlineStr">
        <is>
          <t>Recommended AC cable section</t>
        </is>
      </c>
      <c r="B20" s="3">
        <f>ROUND(IF(INDEX(Inverters!D:D,MATCH(Inputs!B3,Inverters!C:C,0))="three-phase",1.732*Inputs!B18*B18*0.0175/(B19*400)*100,2*Inputs!B18*B18*0.0175/(B19*230)*100),2)</f>
      </c>
      <c r="C20" t="inlineStr">
        <is>
          <t>mm2</t>
        </is>
      </c>
      <c r="D20" t="inlineStr">
        <is>
          <t>Based on estimated AC current</t>
        </is>
      </c>
    </row>
    <row r="21">
      <c r="A21" t="inlineStr">
        <is>
          <t>AC voltage drop</t>
        </is>
      </c>
      <c r="B21" s="3">
        <f>LOOKUP(B18*1.25,{0,16,20,25,32,40,50,63,80,100,125,160},{16,20,25,32,40,50,63,80,100,125,160,200})</f>
      </c>
      <c r="C21" t="inlineStr">
        <is>
          <t>%</t>
        </is>
      </c>
      <c r="D21" t="inlineStr">
        <is>
          <t>Starter single/three-phase voltage-drop estimate</t>
        </is>
      </c>
    </row>
    <row r="22">
      <c r="A22" t="inlineStr">
        <is>
          <t>Suggested AC breaker rating</t>
        </is>
      </c>
      <c r="B22" t="inlineStr" s="3">
        <is>
          <t/>
        </is>
      </c>
      <c r="C22" t="inlineStr">
        <is>
          <t>A</t>
        </is>
      </c>
      <c r="D22" t="inlineStr">
        <is>
          <t>Next common rating above AC current</t>
        </is>
      </c>
    </row>
    <row r="23">
      <c r="A23" t="inlineStr">
        <is>
          <t>Estimated battery current</t>
        </is>
      </c>
      <c r="B23" s="3">
        <f>ROUND(INDEX(Inverters!E:E,MATCH(Inputs!B3,Inverters!C:C,0))/INDEX(Batteries!G:G,MATCH(Inputs!B9,Batteries!C:C,0)),1)</f>
      </c>
      <c r="C23" t="inlineStr">
        <is>
          <t>A</t>
        </is>
      </c>
      <c r="D23" t="inlineStr">
        <is>
          <t>AC power / battery nominal voltage</t>
        </is>
      </c>
    </row>
    <row r="24">
      <c r="A24" t="inlineStr">
        <is>
          <t>Recommended battery cable section</t>
        </is>
      </c>
      <c r="B24" s="3">
        <f>MAX(16,LOOKUP(B23/B30,CableSizing!B:B,CableSizing!A:A))</f>
      </c>
      <c r="C24" t="inlineStr">
        <is>
          <t>mm2</t>
        </is>
      </c>
      <c r="D24" t="inlineStr">
        <is>
          <t>Based on estimated battery current</t>
        </is>
      </c>
    </row>
    <row r="25">
      <c r="A25" t="inlineStr">
        <is>
          <t>Suggested battery breaker rating</t>
        </is>
      </c>
      <c r="B25" s="3">
        <f>LOOKUP(B23*1.25,{0,63,80,100,125,160,200,250},{63,80,100,125,160,200,250,315})</f>
      </c>
      <c r="C25" t="inlineStr">
        <is>
          <t>A</t>
        </is>
      </c>
      <c r="D25" t="inlineStr">
        <is>
          <t>Next common rating above battery current</t>
        </is>
      </c>
    </row>
    <row r="26">
      <c r="A26" t="inlineStr">
        <is>
          <t>Sizing status</t>
        </is>
      </c>
      <c r="B26" s="3">
        <f>"VERIFY"</f>
      </c>
      <c r="C26" t="inlineStr">
        <is>
          <t/>
        </is>
      </c>
      <c r="D26" t="inlineStr">
        <is>
          <t>VERIFY until local standards and datasheets are checked</t>
        </is>
      </c>
    </row>
    <row r="27"/>
    <row r="28">
      <c r="A28" t="inlineStr">
        <is>
          <t>Advanced protection result</t>
        </is>
      </c>
      <c r="B28" s="3">
        <f>IF(Inputs!B23="External LPS","Type 1+2 DC/AC SPD",IF(Inputs!B23="Overhead supply","Type 1+2 AC SPD + Type 2 DC SPD",IF(Inputs!B23="Long outdoor DC route","Type 2 DC SPD near inverter and array","Type 2 DC/AC SPD")))</f>
      </c>
      <c r="C28" t="inlineStr">
        <is>
          <t>Unit</t>
        </is>
      </c>
      <c r="D28" t="inlineStr">
        <is>
          <t>Formula / meaning</t>
        </is>
      </c>
    </row>
    <row r="29">
      <c r="A29" t="inlineStr">
        <is>
          <t>Recommended SPD type</t>
        </is>
      </c>
      <c r="B29" s="3">
        <f>Inputs!B24</f>
      </c>
      <c r="C29" t="inlineStr">
        <is>
          <t/>
        </is>
      </c>
      <c r="D29" t="inlineStr">
        <is>
          <t>Based on selected lightning protection condition</t>
        </is>
      </c>
    </row>
    <row r="30">
      <c r="A30" t="inlineStr">
        <is>
          <t>AC earthing system</t>
        </is>
      </c>
      <c r="B30" s="3">
        <f>MAX(0.1,Inputs!B21*Inputs!B22)</f>
      </c>
      <c r="C30" t="inlineStr">
        <is>
          <t/>
        </is>
      </c>
      <c r="D30" t="inlineStr">
        <is>
          <t>Selected earthing system checklist</t>
        </is>
      </c>
    </row>
    <row r="31">
      <c r="A31" t="inlineStr">
        <is>
          <t>Combined cable derating factor</t>
        </is>
      </c>
      <c r="B31" s="3">
        <f>INDEX(CableSizing!B:B,MATCH(B15,CableSizing!A:A,0))*B30</f>
      </c>
      <c r="C31" t="inlineStr">
        <is>
          <t>factor</t>
        </is>
      </c>
      <c r="D31" t="inlineStr">
        <is>
          <t>Grouping derating x ambient derating</t>
        </is>
      </c>
    </row>
    <row r="32">
      <c r="A32" t="inlineStr">
        <is>
          <t>Derated DC cable ampacity</t>
        </is>
      </c>
      <c r="B32" s="3">
        <f>"VERIFY"</f>
      </c>
      <c r="C32" t="inlineStr">
        <is>
          <t>A</t>
        </is>
      </c>
      <c r="D32" t="inlineStr">
        <is>
          <t>Selected DC cable ampacity after derating</t>
        </is>
      </c>
    </row>
    <row r="33">
      <c r="A33" t="inlineStr">
        <is>
          <t>Advanced protection status</t>
        </is>
      </c>
      <c r="B33" t="inlineStr">
        <is>
          <t/>
        </is>
      </c>
      <c r="C33" t="inlineStr">
        <is>
          <t/>
        </is>
      </c>
      <c r="D33" t="inlineStr">
        <is>
          <t>VERIFY until local standards are checked</t>
        </is>
      </c>
    </row>
  </sheetData>
  <conditionalFormatting sqref="B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2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3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xSplit="0" ySplit="1" topLeftCell="A2" activePane="bottomRight" state="frozen"/>
    </sheetView>
  </sheetViews>
  <sheetFormatPr defaultRowHeight="16"/>
  <cols>
    <col min="1" max="1" width="14" customWidth="1"/>
    <col min="2" max="2" width="14" customWidth="1"/>
    <col min="3" max="3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</sheetData>
  <autoFilter ref="A1:C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20" customWidth="1"/>
    <col min="5" max="5" width="26" customWidth="1"/>
    <col min="6" max="6" width="74" customWidth="1"/>
  </cols>
  <sheetData>
    <row r="1">
      <c r="A1" t="inlineStr" s="1">
        <is>
          <t>section_mm2</t>
        </is>
      </c>
      <c r="B1" t="inlineStr" s="1">
        <is>
          <t>ampacity_a</t>
        </is>
      </c>
      <c r="C1" t="inlineStr" s="1">
        <is>
          <t>notes</t>
        </is>
      </c>
    </row>
    <row r="2">
      <c r="A2">
        <v>1.5</v>
      </c>
      <c r="B2">
        <v>0</v>
      </c>
      <c r="C2" t="inlineStr">
        <is>
          <t>Lookup floor for low-current auxiliary AC circuits; verify installation method.</t>
        </is>
      </c>
    </row>
    <row r="3">
      <c r="A3">
        <v>2.5</v>
      </c>
      <c r="B3">
        <v>25</v>
      </c>
      <c r="C3" t="inlineStr">
        <is>
          <t>Starter copper cable ampacity assumption; verify installation method.</t>
        </is>
      </c>
    </row>
    <row r="4">
      <c r="A4">
        <v>4</v>
      </c>
      <c r="B4">
        <v>35</v>
      </c>
      <c r="C4" t="inlineStr">
        <is>
          <t>Starter copper cable ampacity assumption; verify installation method.</t>
        </is>
      </c>
    </row>
    <row r="5">
      <c r="A5">
        <v>6</v>
      </c>
      <c r="B5">
        <v>50</v>
      </c>
      <c r="C5" t="inlineStr">
        <is>
          <t>Starter copper cable ampacity assumption; verify installation method.</t>
        </is>
      </c>
    </row>
    <row r="6">
      <c r="A6">
        <v>10</v>
      </c>
      <c r="B6">
        <v>70</v>
      </c>
      <c r="C6" t="inlineStr">
        <is>
          <t>Starter copper cable ampacity assumption; verify installation method.</t>
        </is>
      </c>
    </row>
    <row r="7">
      <c r="A7">
        <v>16</v>
      </c>
      <c r="B7">
        <v>90</v>
      </c>
      <c r="C7" t="inlineStr">
        <is>
          <t>Starter copper cable ampacity assumption; verify installation method.</t>
        </is>
      </c>
    </row>
    <row r="8">
      <c r="A8">
        <v>25</v>
      </c>
      <c r="B8">
        <v>120</v>
      </c>
      <c r="C8" t="inlineStr">
        <is>
          <t>Starter copper cable ampacity assumption; verify installation method.</t>
        </is>
      </c>
    </row>
    <row r="9">
      <c r="A9">
        <v>35</v>
      </c>
      <c r="B9">
        <v>150</v>
      </c>
      <c r="C9" t="inlineStr">
        <is>
          <t>Starter copper cable ampacity assumption; verify installation method.</t>
        </is>
      </c>
    </row>
    <row r="10">
      <c r="A10">
        <v>50</v>
      </c>
      <c r="B10">
        <v>180</v>
      </c>
      <c r="C10" t="inlineStr">
        <is>
          <t>Starter copper cable ampacity assumption; verify installation method.</t>
        </is>
      </c>
    </row>
    <row r="11">
      <c r="A11">
        <v>70</v>
      </c>
      <c r="B11">
        <v>230</v>
      </c>
      <c r="C11" t="inlineStr">
        <is>
          <t>Starter copper cable ampacity assumption; verify installation method.</t>
        </is>
      </c>
    </row>
    <row r="12">
      <c r="A12">
        <v>95</v>
      </c>
      <c r="B12">
        <v>280</v>
      </c>
      <c r="C12" t="inlineStr">
        <is>
          <t>Starter copper cable ampacity assumption; verify installation method.</t>
        </is>
      </c>
    </row>
    <row r="13">
      <c r="A13">
        <v>120</v>
      </c>
      <c r="B13">
        <v>330</v>
      </c>
      <c r="C13" t="inlineStr">
        <is>
          <t>Starter copper cable ampacity assumption; verify installation method.</t>
        </is>
      </c>
    </row>
    <row r="14">
      <c r="A14" t="inlineStr">
        <is>
          <t>PV cable red</t>
        </is>
      </c>
      <c r="B14" t="inlineStr">
        <is>
          <t>DC cable</t>
        </is>
      </c>
      <c r="C14">
        <v>0</v>
      </c>
      <c r="D14" t="inlineStr">
        <is>
          <t>m</t>
        </is>
      </c>
      <c r="E14" t="inlineStr">
        <is>
          <t>user_input</t>
        </is>
      </c>
      <c r="F14" t="inlineStr">
        <is>
          <t>Positive DC cable length; user-defined route length.</t>
        </is>
      </c>
    </row>
    <row r="15">
      <c r="A15" t="inlineStr">
        <is>
          <t>PV cable black</t>
        </is>
      </c>
      <c r="B15" t="inlineStr">
        <is>
          <t>DC cable</t>
        </is>
      </c>
      <c r="C15">
        <v>0</v>
      </c>
      <c r="D15" t="inlineStr">
        <is>
          <t>m</t>
        </is>
      </c>
      <c r="E15" t="inlineStr">
        <is>
          <t>user_input</t>
        </is>
      </c>
      <c r="F15" t="inlineStr">
        <is>
          <t>Negative DC cable length; user-defined route length.</t>
        </is>
      </c>
    </row>
    <row r="16">
      <c r="A16" t="inlineStr">
        <is>
          <t>PE cable</t>
        </is>
      </c>
      <c r="B16" t="inlineStr">
        <is>
          <t>Grounding cable</t>
        </is>
      </c>
      <c r="C16">
        <v>0</v>
      </c>
      <c r="D16" t="inlineStr">
        <is>
          <t>m</t>
        </is>
      </c>
      <c r="E16" t="inlineStr">
        <is>
          <t>user_input</t>
        </is>
      </c>
      <c r="F16" t="inlineStr">
        <is>
          <t>Protective earth cable length; user-defined route length.</t>
        </is>
      </c>
    </row>
    <row r="17">
      <c r="A17" t="inlineStr">
        <is>
          <t>DC string fuse</t>
        </is>
      </c>
      <c r="B17" t="inlineStr">
        <is>
          <t>DC protection</t>
        </is>
      </c>
      <c r="C17">
        <v>0</v>
      </c>
      <c r="D17" t="inlineStr">
        <is>
          <t>pcs</t>
        </is>
      </c>
      <c r="E17" t="inlineStr">
        <is>
          <t>strings_per_mppt_gt_1</t>
        </is>
      </c>
      <c r="F17" t="inlineStr">
        <is>
          <t>Use when parallel strings are connected; verify by module Isc and local rules.</t>
        </is>
      </c>
    </row>
    <row r="18">
      <c r="A18" t="inlineStr">
        <is>
          <t>DC isolator</t>
        </is>
      </c>
      <c r="B18" t="inlineStr">
        <is>
          <t>DC protection</t>
        </is>
      </c>
      <c r="C18">
        <v>1</v>
      </c>
      <c r="D18" t="inlineStr">
        <is>
          <t>pcs</t>
        </is>
      </c>
      <c r="E18" t="inlineStr">
        <is>
          <t>one_per_inverter</t>
        </is>
      </c>
      <c r="F18" t="inlineStr">
        <is>
          <t>DC isolator or switch-disconnector; verify inverter built-in equipment.</t>
        </is>
      </c>
    </row>
    <row r="19">
      <c r="A19" t="inlineStr">
        <is>
          <t>DC SPD Type 2</t>
        </is>
      </c>
      <c r="B19" t="inlineStr">
        <is>
          <t>DC protection</t>
        </is>
      </c>
      <c r="C19">
        <v>1</v>
      </c>
      <c r="D19" t="inlineStr">
        <is>
          <t>pcs</t>
        </is>
      </c>
      <c r="E19" t="inlineStr">
        <is>
          <t>one_per_array</t>
        </is>
      </c>
      <c r="F19" t="inlineStr">
        <is>
          <t>DC surge protection starter assumption.</t>
        </is>
      </c>
    </row>
    <row r="20">
      <c r="A20" t="inlineStr">
        <is>
          <t>AC breaker</t>
        </is>
      </c>
      <c r="B20" t="inlineStr">
        <is>
          <t>AC protection</t>
        </is>
      </c>
      <c r="C20">
        <v>1</v>
      </c>
      <c r="D20" t="inlineStr">
        <is>
          <t>pcs</t>
        </is>
      </c>
      <c r="E20" t="inlineStr">
        <is>
          <t>one_per_inverter</t>
        </is>
      </c>
      <c r="F20" t="inlineStr">
        <is>
          <t>AC breaker rating must be selected by inverter output current and local rules.</t>
        </is>
      </c>
    </row>
    <row r="21">
      <c r="A21" t="inlineStr">
        <is>
          <t>AC SPD Type 2</t>
        </is>
      </c>
      <c r="B21" t="inlineStr">
        <is>
          <t>AC protection</t>
        </is>
      </c>
      <c r="C21">
        <v>1</v>
      </c>
      <c r="D21" t="inlineStr">
        <is>
          <t>pcs</t>
        </is>
      </c>
      <c r="E21" t="inlineStr">
        <is>
          <t>one_per_system</t>
        </is>
      </c>
      <c r="F21" t="inlineStr">
        <is>
          <t>AC surge protection starter assumption.</t>
        </is>
      </c>
    </row>
    <row r="22">
      <c r="A22" t="inlineStr">
        <is>
          <t>AC cable</t>
        </is>
      </c>
      <c r="B22" t="inlineStr">
        <is>
          <t>AC cable</t>
        </is>
      </c>
      <c r="C22">
        <v>0</v>
      </c>
      <c r="D22" t="inlineStr">
        <is>
          <t>m</t>
        </is>
      </c>
      <c r="E22" t="inlineStr">
        <is>
          <t>user_input</t>
        </is>
      </c>
      <c r="F22" t="inlineStr">
        <is>
          <t>AC cable length; user-defined route length.</t>
        </is>
      </c>
    </row>
    <row r="23">
      <c r="A23" t="inlineStr">
        <is>
          <t>Battery DC cable pair</t>
        </is>
      </c>
      <c r="B23" t="inlineStr">
        <is>
          <t>Battery cable</t>
        </is>
      </c>
      <c r="C23">
        <v>1</v>
      </c>
      <c r="D23" t="inlineStr">
        <is>
          <t>pair</t>
        </is>
      </c>
      <c r="E23" t="inlineStr">
        <is>
          <t>one_per_battery_stack</t>
        </is>
      </c>
      <c r="F23" t="inlineStr">
        <is>
          <t>Battery cable pair starter assumption.</t>
        </is>
      </c>
    </row>
    <row r="24">
      <c r="A24" t="inlineStr">
        <is>
          <t>Battery fuse or breaker</t>
        </is>
      </c>
      <c r="B24" t="inlineStr">
        <is>
          <t>Battery protection</t>
        </is>
      </c>
      <c r="C24">
        <v>1</v>
      </c>
      <c r="D24" t="inlineStr">
        <is>
          <t>pcs</t>
        </is>
      </c>
      <c r="E24" t="inlineStr">
        <is>
          <t>one_per_battery_stack</t>
        </is>
      </c>
      <c r="F24" t="inlineStr">
        <is>
          <t>Battery protection must be selected by battery/inverter current.</t>
        </is>
      </c>
    </row>
  </sheetData>
  <autoFilter ref="A1:C2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xSplit="0" ySplit="1" topLeftCell="A2" activePane="bottomRight" state="frozen"/>
    </sheetView>
  </sheetViews>
  <sheetFormatPr defaultRowHeight="16"/>
  <cols>
    <col min="1" max="1" width="28" customWidth="1"/>
    <col min="2" max="2" width="34" customWidth="1"/>
    <col min="3" max="3" width="78" customWidth="1"/>
  </cols>
  <sheetData>
    <row r="1">
      <c r="A1" t="inlineStr" s="1">
        <is>
          <t>condition</t>
        </is>
      </c>
      <c r="B1" t="inlineStr" s="1">
        <is>
          <t>recommended_spd</t>
        </is>
      </c>
      <c r="C1" t="inlineStr" s="1">
        <is>
          <t>notes</t>
        </is>
      </c>
    </row>
    <row r="2">
      <c r="A2" t="inlineStr">
        <is>
          <t>No external LPS</t>
        </is>
      </c>
      <c r="B2" t="inlineStr">
        <is>
          <t>Type 2 DC/AC SPD</t>
        </is>
      </c>
      <c r="C2" t="inlineStr">
        <is>
          <t>Starter residential/commercial assumption; verify risk assessment and local standards.</t>
        </is>
      </c>
    </row>
    <row r="3">
      <c r="A3" t="inlineStr">
        <is>
          <t>External LPS</t>
        </is>
      </c>
      <c r="B3" t="inlineStr">
        <is>
          <t>Type 1+2 DC/AC SPD</t>
        </is>
      </c>
      <c r="C3" t="inlineStr">
        <is>
          <t>Use when building has external lightning protection system; verify coordination.</t>
        </is>
      </c>
    </row>
    <row r="4">
      <c r="A4" t="inlineStr">
        <is>
          <t>Overhead supply</t>
        </is>
      </c>
      <c r="B4" t="inlineStr">
        <is>
          <t>Type 1+2 AC SPD</t>
        </is>
      </c>
      <c r="C4" t="inlineStr">
        <is>
          <t>Often required on AC side with overhead supply; verify utility and standards.</t>
        </is>
      </c>
    </row>
    <row r="5">
      <c r="A5" t="inlineStr">
        <is>
          <t>Long outdoor DC route</t>
        </is>
      </c>
      <c r="B5" t="inlineStr">
        <is>
          <t>Type 2 DC SPD near inverter and array</t>
        </is>
      </c>
      <c r="C5" t="inlineStr">
        <is>
          <t>May require additional SPD placement; verify cable route and inverter manual.</t>
        </is>
      </c>
    </row>
  </sheetData>
  <autoFilter ref="A1:C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34" customWidth="1"/>
    <col min="3" max="3" width="78" customWidth="1"/>
  </cols>
  <sheetData>
    <row r="1">
      <c r="A1" t="inlineStr" s="1">
        <is>
          <t>earthing_system</t>
        </is>
      </c>
      <c r="B1" t="inlineStr" s="1">
        <is>
          <t>starter_requirement</t>
        </is>
      </c>
      <c r="C1" t="inlineStr" s="1">
        <is>
          <t>notes</t>
        </is>
      </c>
    </row>
    <row r="2">
      <c r="A2" t="inlineStr">
        <is>
          <t>TN-S</t>
        </is>
      </c>
      <c r="B2" t="inlineStr">
        <is>
          <t>PE continuity and bonding check</t>
        </is>
      </c>
      <c r="C2" t="inlineStr">
        <is>
          <t>Verify PE conductor sizing</t>
        </is>
      </c>
      <c r="D2" t="inlineStr">
        <is>
          <t> equipotential bonding</t>
        </is>
      </c>
      <c r="E2" t="inlineStr">
        <is>
          <t> and SPD connection length.</t>
        </is>
      </c>
    </row>
    <row r="3">
      <c r="A3" t="inlineStr">
        <is>
          <t>TN-C-S</t>
        </is>
      </c>
      <c r="B3" t="inlineStr">
        <is>
          <t>Separate PEN/PE handling check</t>
        </is>
      </c>
      <c r="C3" t="inlineStr">
        <is>
          <t>Verify local rules for PV connection</t>
        </is>
      </c>
      <c r="D3" t="inlineStr">
        <is>
          <t> bonding</t>
        </is>
      </c>
      <c r="E3" t="inlineStr">
        <is>
          <t> and SPD earthing.</t>
        </is>
      </c>
    </row>
    <row r="4">
      <c r="A4" t="inlineStr">
        <is>
          <t>TT</t>
        </is>
      </c>
      <c r="B4" t="inlineStr">
        <is>
          <t>RCD and earth electrode check</t>
        </is>
      </c>
      <c r="C4" t="inlineStr">
        <is>
          <t>Verify electrode resistance</t>
        </is>
      </c>
      <c r="D4" t="inlineStr">
        <is>
          <t> RCD coordination</t>
        </is>
      </c>
      <c r="E4" t="inlineStr">
        <is>
          <t> and SPD discharge path.</t>
        </is>
      </c>
    </row>
    <row r="5">
      <c r="A5" t="inlineStr">
        <is>
          <t>IT</t>
        </is>
      </c>
      <c r="B5" t="inlineStr">
        <is>
          <t>Special protection study required</t>
        </is>
      </c>
      <c r="C5" t="inlineStr">
        <is>
          <t>Do not use starter assumptions without engineering verification.</t>
        </is>
      </c>
    </row>
  </sheetData>
  <autoFilter ref="A1:C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pane xSplit="0" ySplit="1" topLeftCell="A2" activePane="bottomRight" state="frozen"/>
    </sheetView>
  </sheetViews>
  <sheetFormatPr defaultRowHeight="16"/>
  <cols>
    <col min="1" max="1" width="24" customWidth="1"/>
    <col min="2" max="2" width="28" customWidth="1"/>
    <col min="3" max="3" width="16" customWidth="1"/>
    <col min="4" max="4" width="78" customWidth="1"/>
  </cols>
  <sheetData>
    <row r="1">
      <c r="A1" t="inlineStr" s="1">
        <is>
          <t>factor_type</t>
        </is>
      </c>
      <c r="B1" t="inlineStr" s="1">
        <is>
          <t>option</t>
        </is>
      </c>
      <c r="C1" t="inlineStr" s="1">
        <is>
          <t>default_factor</t>
        </is>
      </c>
      <c r="D1" t="inlineStr" s="1">
        <is>
          <t>notes</t>
        </is>
      </c>
    </row>
    <row r="2">
      <c r="A2" t="inlineStr">
        <is>
          <t>installation_method</t>
        </is>
      </c>
      <c r="B2" t="inlineStr">
        <is>
          <t>Open air</t>
        </is>
      </c>
      <c r="C2">
        <v>1</v>
      </c>
      <c r="D2" t="inlineStr">
        <is>
          <t>Starter assumption for ventilated cable routes; verify local tables.</t>
        </is>
      </c>
    </row>
    <row r="3">
      <c r="A3" t="inlineStr">
        <is>
          <t>installation_method</t>
        </is>
      </c>
      <c r="B3" t="inlineStr">
        <is>
          <t>Conduit or trunking</t>
        </is>
      </c>
      <c r="C3">
        <v>0.85</v>
      </c>
      <c r="D3" t="inlineStr">
        <is>
          <t>Starter derating for enclosed routes; verify local tables.</t>
        </is>
      </c>
    </row>
    <row r="4">
      <c r="A4" t="inlineStr">
        <is>
          <t>installation_method</t>
        </is>
      </c>
      <c r="B4" t="inlineStr">
        <is>
          <t>Thermal insulation</t>
        </is>
      </c>
      <c r="C4">
        <v>0.65</v>
      </c>
      <c r="D4" t="inlineStr">
        <is>
          <t>High derating risk; verify local tables.</t>
        </is>
      </c>
    </row>
    <row r="5">
      <c r="A5" t="inlineStr">
        <is>
          <t>grouping</t>
        </is>
      </c>
      <c r="B5" t="inlineStr">
        <is>
          <t>Single circuit</t>
        </is>
      </c>
      <c r="C5">
        <v>1</v>
      </c>
      <c r="D5" t="inlineStr">
        <is>
          <t>No grouping derating applied.</t>
        </is>
      </c>
    </row>
    <row r="6">
      <c r="A6" t="inlineStr">
        <is>
          <t>grouping</t>
        </is>
      </c>
      <c r="B6" t="inlineStr">
        <is>
          <t>Several circuits</t>
        </is>
      </c>
      <c r="C6">
        <v>0.8</v>
      </c>
      <c r="D6" t="inlineStr">
        <is>
          <t>Starter grouping derating; verify actual routing.</t>
        </is>
      </c>
    </row>
    <row r="7">
      <c r="A7" t="inlineStr">
        <is>
          <t>temperature</t>
        </is>
      </c>
      <c r="B7" t="inlineStr">
        <is>
          <t>Standard ambient</t>
        </is>
      </c>
      <c r="C7">
        <v>1</v>
      </c>
      <c r="D7" t="inlineStr">
        <is>
          <t>Starter assumption.</t>
        </is>
      </c>
    </row>
    <row r="8">
      <c r="A8" t="inlineStr">
        <is>
          <t>temperature</t>
        </is>
      </c>
      <c r="B8" t="inlineStr">
        <is>
          <t>High ambient</t>
        </is>
      </c>
      <c r="C8">
        <v>0.87</v>
      </c>
      <c r="D8" t="inlineStr">
        <is>
          <t>Starter derating for hot environments; verify cable rating.</t>
        </is>
      </c>
    </row>
  </sheetData>
  <autoFilter ref="A1:D8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