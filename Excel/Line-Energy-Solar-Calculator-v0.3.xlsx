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Inputs" sheetId="1" r:id="rId1"/>
    <sheet name="Results" sheetId="2" r:id="rId2"/>
    <sheet name="Inverters" sheetId="3" r:id="rId3"/>
    <sheet name="Panel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>
      <c r="A1" t="inlineStr">
        <is>
          <t>Line-Energy Solar Calculator</t>
        </is>
      </c>
      <c r="B1" t="inlineStr">
        <is>
          <t>v0.3.0-draft</t>
        </is>
      </c>
    </row>
    <row r="2">
      <c r="A2" t="inlineStr">
        <is>
          <t>Input</t>
        </is>
      </c>
      <c r="B2" t="inlineStr">
        <is>
          <t>Value</t>
        </is>
      </c>
      <c r="C2" t="inlineStr">
        <is>
          <t>Unit</t>
        </is>
      </c>
      <c r="D2" t="inlineStr">
        <is>
          <t>Notes</t>
        </is>
      </c>
    </row>
    <row r="3">
      <c r="A3" t="inlineStr">
        <is>
          <t>Inverter model</t>
        </is>
      </c>
      <c r="B3" t="inlineStr">
        <is>
          <t>SUN-8K-SG01LP1-EU</t>
        </is>
      </c>
      <c r="C3" t="inlineStr">
        <is>
          <t/>
        </is>
      </c>
      <c r="D3" t="inlineStr">
        <is>
          <t>Must match Inverters!C:C</t>
        </is>
      </c>
    </row>
    <row r="4">
      <c r="A4" t="inlineStr">
        <is>
          <t>Panel model</t>
        </is>
      </c>
      <c r="B4" t="inlineStr">
        <is>
          <t>JKM575N-72HL4-V</t>
        </is>
      </c>
      <c r="C4" t="inlineStr">
        <is>
          <t/>
        </is>
      </c>
      <c r="D4" t="inlineStr">
        <is>
          <t>Must match Panels!C:C</t>
        </is>
      </c>
    </row>
    <row r="5">
      <c r="A5" t="inlineStr">
        <is>
          <t>Minimum ambient temperature</t>
        </is>
      </c>
      <c r="B5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Design note</t>
        </is>
      </c>
      <c r="B9" t="inlineStr">
        <is>
          <t>Starter calculation only</t>
        </is>
      </c>
      <c r="C9" t="inlineStr">
        <is>
          <t/>
        </is>
      </c>
      <c r="D9" t="inlineStr">
        <is>
          <t>Verify datasheets before commercial use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>
      <c r="A1" t="inlineStr">
        <is>
          <t>Result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meaning</t>
        </is>
      </c>
    </row>
    <row r="2">
      <c r="A2" t="inlineStr">
        <is>
          <t>Inverter model</t>
        </is>
      </c>
      <c r="B2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Voc temperature coefficient</t>
        </is>
      </c>
      <c r="B13">
        <f>INDEX(Panels!J:J,MATCH(B3,Panels!C:C,0))</f>
      </c>
      <c r="C13" t="inlineStr">
        <is>
          <t>%/C</t>
        </is>
      </c>
      <c r="D13" t="inlineStr">
        <is>
          <t>Used for preliminary voltage correction</t>
        </is>
      </c>
    </row>
    <row r="14">
      <c r="A14" t="inlineStr">
        <is>
          <t>Cold string Voc</t>
        </is>
      </c>
      <c r="B14">
        <f>B10*(1+(B13/100)*(Inputs!B5-25))*B4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string Vmp</t>
        </is>
      </c>
      <c r="B15">
        <f>B11*(1+(B13/100)*(Inputs!B6-25))*B4</f>
      </c>
      <c r="C15" t="inlineStr">
        <is>
          <t>V</t>
        </is>
      </c>
      <c r="D15" t="inlineStr">
        <is>
          <t>Preliminary Vmp at maximum cell temperature</t>
        </is>
      </c>
    </row>
    <row r="16">
      <c r="A16" t="inlineStr">
        <is>
          <t>MPPT operating check</t>
        </is>
      </c>
      <c r="B16">
        <f>IF(AND(B15&gt;=B7,B15&lt;=B8),"PASS","FAIL")</f>
      </c>
      <c r="C16" t="inlineStr">
        <is>
          <t/>
        </is>
      </c>
      <c r="D16" t="inlineStr">
        <is>
          <t>Hot Vmp must stay inside MPPT window</t>
        </is>
      </c>
    </row>
    <row r="17">
      <c r="A17" t="inlineStr">
        <is>
          <t>Max voltage check</t>
        </is>
      </c>
      <c r="B17">
        <f>IF(B14&lt;B6,"PASS","FAIL")</f>
      </c>
      <c r="C17" t="inlineStr">
        <is>
          <t/>
        </is>
      </c>
      <c r="D17" t="inlineStr">
        <is>
          <t>Cold Voc must stay below max PV voltage</t>
        </is>
      </c>
    </row>
    <row r="18">
      <c r="A18" t="inlineStr">
        <is>
          <t>Current check</t>
        </is>
      </c>
      <c r="B18">
        <f>IF(B12*B5&lt;=B9,"PASS","FAIL")</f>
      </c>
      <c r="C18" t="inlineStr">
        <is>
          <t/>
        </is>
      </c>
      <c r="D18" t="inlineStr">
        <is>
          <t>Parallel string current must stay below MPPT current</t>
        </is>
      </c>
    </row>
    <row r="19">
      <c r="A19" t="inlineStr">
        <is>
          <t>Overall preliminary status</t>
        </is>
      </c>
      <c r="B19">
        <f>IF(AND(B16="PASS",B17="PASS",B18="PASS"),"PASS","FAIL")</f>
      </c>
      <c r="C19" t="inlineStr">
        <is>
          <t/>
        </is>
      </c>
      <c r="D19" t="inlineStr">
        <is>
          <t>All checks must pass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>
      <c r="A1" t="inlineStr">
        <is>
          <t>brand</t>
        </is>
      </c>
      <c r="B1" t="inlineStr">
        <is>
          <t>series</t>
        </is>
      </c>
      <c r="C1" t="inlineStr">
        <is>
          <t>model</t>
        </is>
      </c>
      <c r="D1" t="inlineStr">
        <is>
          <t>phase</t>
        </is>
      </c>
      <c r="E1" t="inlineStr">
        <is>
          <t>nominal_ac_power_w</t>
        </is>
      </c>
      <c r="F1" t="inlineStr">
        <is>
          <t>max_pv_input_power_w</t>
        </is>
      </c>
      <c r="G1" t="inlineStr">
        <is>
          <t>max_pv_voltage_v</t>
        </is>
      </c>
      <c r="H1" t="inlineStr">
        <is>
          <t>startup_voltage_v</t>
        </is>
      </c>
      <c r="I1" t="inlineStr">
        <is>
          <t>mppt_voltage_min_v</t>
        </is>
      </c>
      <c r="J1" t="inlineStr">
        <is>
          <t>mppt_voltage_max_v</t>
        </is>
      </c>
      <c r="K1" t="inlineStr">
        <is>
          <t>mppt_count</t>
        </is>
      </c>
      <c r="L1" t="inlineStr">
        <is>
          <t>strings_per_mppt</t>
        </is>
      </c>
      <c r="M1" t="inlineStr">
        <is>
          <t>max_input_current_per_mppt_a</t>
        </is>
      </c>
      <c r="N1" t="inlineStr">
        <is>
          <t>max_short_circuit_current_per_mppt_a</t>
        </is>
      </c>
      <c r="O1" t="inlineStr">
        <is>
          <t>battery_nominal_voltage_v</t>
        </is>
      </c>
      <c r="P1" t="inlineStr">
        <is>
          <t>battery_voltage_range_v</t>
        </is>
      </c>
      <c r="Q1" t="inlineStr">
        <is>
          <t>data_status</t>
        </is>
      </c>
      <c r="R1" t="inlineStr">
        <is>
          <t>notes</t>
        </is>
      </c>
    </row>
    <row r="2">
      <c r="A2" t="inlineStr">
        <is>
          <t>Deye</t>
        </is>
      </c>
      <c r="B2" t="inlineStr">
        <is>
          <t>LV Hybrid</t>
        </is>
      </c>
      <c r="C2" t="inlineStr">
        <is>
          <t>SUN-3.6K-SG03LP1-EU</t>
        </is>
      </c>
      <c r="D2" t="inlineStr">
        <is>
          <t>single-phase</t>
        </is>
      </c>
      <c r="E2">
        <v>3600</v>
      </c>
      <c r="F2">
        <v>4680</v>
      </c>
      <c r="G2">
        <v>500</v>
      </c>
      <c r="H2">
        <v>150</v>
      </c>
      <c r="I2">
        <v>125</v>
      </c>
      <c r="J2">
        <v>425</v>
      </c>
      <c r="K2">
        <v>2</v>
      </c>
      <c r="L2" t="inlineStr">
        <is>
          <t>1+1</t>
        </is>
      </c>
      <c r="M2">
        <v>13</v>
      </c>
      <c r="N2">
        <v>17</v>
      </c>
      <c r="O2">
        <v>48</v>
      </c>
      <c r="P2" t="inlineStr">
        <is>
          <t>40-60</t>
        </is>
      </c>
      <c r="Q2" t="inlineStr">
        <is>
          <t>seed_verify_datasheet</t>
        </is>
      </c>
      <c r="R2" t="inlineStr">
        <is>
          <t>Starter record for low-voltage hybrid inverter calculations.</t>
        </is>
      </c>
    </row>
    <row r="3">
      <c r="A3" t="inlineStr">
        <is>
          <t>Deye</t>
        </is>
      </c>
      <c r="B3" t="inlineStr">
        <is>
          <t>LV Hybrid</t>
        </is>
      </c>
      <c r="C3" t="inlineStr">
        <is>
          <t>SUN-5K-SG03LP1-EU</t>
        </is>
      </c>
      <c r="D3" t="inlineStr">
        <is>
          <t>single-phase</t>
        </is>
      </c>
      <c r="E3">
        <v>5000</v>
      </c>
      <c r="F3">
        <v>6500</v>
      </c>
      <c r="G3">
        <v>500</v>
      </c>
      <c r="H3">
        <v>150</v>
      </c>
      <c r="I3">
        <v>125</v>
      </c>
      <c r="J3">
        <v>425</v>
      </c>
      <c r="K3">
        <v>2</v>
      </c>
      <c r="L3" t="inlineStr">
        <is>
          <t>1+1</t>
        </is>
      </c>
      <c r="M3">
        <v>13</v>
      </c>
      <c r="N3">
        <v>17</v>
      </c>
      <c r="O3">
        <v>48</v>
      </c>
      <c r="P3" t="inlineStr">
        <is>
          <t>40-60</t>
        </is>
      </c>
      <c r="Q3" t="inlineStr">
        <is>
          <t>seed_verify_datasheet</t>
        </is>
      </c>
      <c r="R3" t="inlineStr">
        <is>
          <t>Starter record for low-voltage hybrid inverter calculations.</t>
        </is>
      </c>
    </row>
    <row r="4">
      <c r="A4" t="inlineStr">
        <is>
          <t>Deye</t>
        </is>
      </c>
      <c r="B4" t="inlineStr">
        <is>
          <t>LV Hybrid</t>
        </is>
      </c>
      <c r="C4" t="inlineStr">
        <is>
          <t>SUN-6K-SG03LP1-EU</t>
        </is>
      </c>
      <c r="D4" t="inlineStr">
        <is>
          <t>single-phase</t>
        </is>
      </c>
      <c r="E4">
        <v>6000</v>
      </c>
      <c r="F4">
        <v>7800</v>
      </c>
      <c r="G4">
        <v>500</v>
      </c>
      <c r="H4">
        <v>150</v>
      </c>
      <c r="I4">
        <v>125</v>
      </c>
      <c r="J4">
        <v>425</v>
      </c>
      <c r="K4">
        <v>2</v>
      </c>
      <c r="L4" t="inlineStr">
        <is>
          <t>1+1</t>
        </is>
      </c>
      <c r="M4">
        <v>13</v>
      </c>
      <c r="N4">
        <v>17</v>
      </c>
      <c r="O4">
        <v>48</v>
      </c>
      <c r="P4" t="inlineStr">
        <is>
          <t>40-60</t>
        </is>
      </c>
      <c r="Q4" t="inlineStr">
        <is>
          <t>seed_verify_datasheet</t>
        </is>
      </c>
      <c r="R4" t="inlineStr">
        <is>
          <t>Starter record for low-voltage hybrid inverter calculations.</t>
        </is>
      </c>
    </row>
    <row r="5">
      <c r="A5" t="inlineStr">
        <is>
          <t>Deye</t>
        </is>
      </c>
      <c r="B5" t="inlineStr">
        <is>
          <t>LV Hybrid</t>
        </is>
      </c>
      <c r="C5" t="inlineStr">
        <is>
          <t>SUN-8K-SG01LP1-EU</t>
        </is>
      </c>
      <c r="D5" t="inlineStr">
        <is>
          <t>single-phase</t>
        </is>
      </c>
      <c r="E5">
        <v>8000</v>
      </c>
      <c r="F5">
        <v>10400</v>
      </c>
      <c r="G5">
        <v>500</v>
      </c>
      <c r="H5">
        <v>150</v>
      </c>
      <c r="I5">
        <v>125</v>
      </c>
      <c r="J5">
        <v>425</v>
      </c>
      <c r="K5">
        <v>2</v>
      </c>
      <c r="L5" t="inlineStr">
        <is>
          <t>2+2</t>
        </is>
      </c>
      <c r="M5">
        <v>26</v>
      </c>
      <c r="N5">
        <v>34</v>
      </c>
      <c r="O5">
        <v>48</v>
      </c>
      <c r="P5" t="inlineStr">
        <is>
          <t>40-60</t>
        </is>
      </c>
      <c r="Q5" t="inlineStr">
        <is>
          <t>seed_verify_datasheet</t>
        </is>
      </c>
      <c r="R5" t="inlineStr">
        <is>
          <t>Starter record; verify exact PV current and string inputs for selected market version.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>
      <c r="A1" t="inlineStr">
        <is>
          <t>brand</t>
        </is>
      </c>
      <c r="B1" t="inlineStr">
        <is>
          <t>series</t>
        </is>
      </c>
      <c r="C1" t="inlineStr">
        <is>
          <t>model</t>
        </is>
      </c>
      <c r="D1" t="inlineStr">
        <is>
          <t>power_stc_w</t>
        </is>
      </c>
      <c r="E1" t="inlineStr">
        <is>
          <t>vmp_stc_v</t>
        </is>
      </c>
      <c r="F1" t="inlineStr">
        <is>
          <t>imp_stc_a</t>
        </is>
      </c>
      <c r="G1" t="inlineStr">
        <is>
          <t>voc_stc_v</t>
        </is>
      </c>
      <c r="H1" t="inlineStr">
        <is>
          <t>isc_stc_a</t>
        </is>
      </c>
      <c r="I1" t="inlineStr">
        <is>
          <t>temp_coeff_pmax_pct_c</t>
        </is>
      </c>
      <c r="J1" t="inlineStr">
        <is>
          <t>temp_coeff_voc_pct_c</t>
        </is>
      </c>
      <c r="K1" t="inlineStr">
        <is>
          <t>temp_coeff_isc_pct_c</t>
        </is>
      </c>
      <c r="L1" t="inlineStr">
        <is>
          <t>module_length_mm</t>
        </is>
      </c>
      <c r="M1" t="inlineStr">
        <is>
          <t>module_width_mm</t>
        </is>
      </c>
      <c r="N1" t="inlineStr">
        <is>
          <t>module_depth_mm</t>
        </is>
      </c>
      <c r="O1" t="inlineStr">
        <is>
          <t>data_status</t>
        </is>
      </c>
      <c r="P1" t="inlineStr">
        <is>
          <t>notes</t>
        </is>
      </c>
    </row>
    <row r="2">
      <c r="A2" t="inlineStr">
        <is>
          <t>Jinko</t>
        </is>
      </c>
      <c r="B2" t="inlineStr">
        <is>
          <t>Tiger Neo N-type 72HL4</t>
        </is>
      </c>
      <c r="C2" t="inlineStr">
        <is>
          <t>JKM565N-72HL4-V</t>
        </is>
      </c>
      <c r="D2">
        <v>565</v>
      </c>
      <c r="E2">
        <v>43.28</v>
      </c>
      <c r="F2">
        <v>13.06</v>
      </c>
      <c r="G2">
        <v>51.7</v>
      </c>
      <c r="H2">
        <v>13.86</v>
      </c>
      <c r="I2">
        <v>-0.29</v>
      </c>
      <c r="J2">
        <v>-0.25</v>
      </c>
      <c r="K2">
        <v>0.045</v>
      </c>
      <c r="L2">
        <v>2278</v>
      </c>
      <c r="M2">
        <v>1134</v>
      </c>
      <c r="N2">
        <v>30</v>
      </c>
      <c r="O2" t="inlineStr">
        <is>
          <t>seed_verify_datasheet</t>
        </is>
      </c>
      <c r="P2" t="inlineStr">
        <is>
          <t>Starter record for string sizing tests.</t>
        </is>
      </c>
    </row>
    <row r="3">
      <c r="A3" t="inlineStr">
        <is>
          <t>Jinko</t>
        </is>
      </c>
      <c r="B3" t="inlineStr">
        <is>
          <t>Tiger Neo N-type 72HL4</t>
        </is>
      </c>
      <c r="C3" t="inlineStr">
        <is>
          <t>JKM570N-72HL4-V</t>
        </is>
      </c>
      <c r="D3">
        <v>570</v>
      </c>
      <c r="E3">
        <v>43.52</v>
      </c>
      <c r="F3">
        <v>13.1</v>
      </c>
      <c r="G3">
        <v>51.89</v>
      </c>
      <c r="H3">
        <v>13.89</v>
      </c>
      <c r="I3">
        <v>-0.29</v>
      </c>
      <c r="J3">
        <v>-0.25</v>
      </c>
      <c r="K3">
        <v>0.045</v>
      </c>
      <c r="L3">
        <v>2278</v>
      </c>
      <c r="M3">
        <v>1134</v>
      </c>
      <c r="N3">
        <v>30</v>
      </c>
      <c r="O3" t="inlineStr">
        <is>
          <t>seed_verify_datasheet</t>
        </is>
      </c>
      <c r="P3" t="inlineStr">
        <is>
          <t>Starter record for string sizing tests.</t>
        </is>
      </c>
    </row>
    <row r="4">
      <c r="A4" t="inlineStr">
        <is>
          <t>Jinko</t>
        </is>
      </c>
      <c r="B4" t="inlineStr">
        <is>
          <t>Tiger Neo N-type 72HL4</t>
        </is>
      </c>
      <c r="C4" t="inlineStr">
        <is>
          <t>JKM575N-72HL4-V</t>
        </is>
      </c>
      <c r="D4">
        <v>575</v>
      </c>
      <c r="E4">
        <v>43.76</v>
      </c>
      <c r="F4">
        <v>13.14</v>
      </c>
      <c r="G4">
        <v>52.08</v>
      </c>
      <c r="H4">
        <v>13.92</v>
      </c>
      <c r="I4">
        <v>-0.29</v>
      </c>
      <c r="J4">
        <v>-0.25</v>
      </c>
      <c r="K4">
        <v>0.045</v>
      </c>
      <c r="L4">
        <v>2278</v>
      </c>
      <c r="M4">
        <v>1134</v>
      </c>
      <c r="N4">
        <v>30</v>
      </c>
      <c r="O4" t="inlineStr">
        <is>
          <t>seed_verify_datasheet</t>
        </is>
      </c>
      <c r="P4" t="inlineStr">
        <is>
          <t>Starter record for string sizing tests.</t>
        </is>
      </c>
    </row>
    <row r="5">
      <c r="A5" t="inlineStr">
        <is>
          <t>Jinko</t>
        </is>
      </c>
      <c r="B5" t="inlineStr">
        <is>
          <t>Tiger Neo N-type 72HL4</t>
        </is>
      </c>
      <c r="C5" t="inlineStr">
        <is>
          <t>JKM580N-72HL4-V</t>
        </is>
      </c>
      <c r="D5">
        <v>580</v>
      </c>
      <c r="E5">
        <v>43.99</v>
      </c>
      <c r="F5">
        <v>13.19</v>
      </c>
      <c r="G5">
        <v>52.27</v>
      </c>
      <c r="H5">
        <v>13.96</v>
      </c>
      <c r="I5">
        <v>-0.29</v>
      </c>
      <c r="J5">
        <v>-0.25</v>
      </c>
      <c r="K5">
        <v>0.045</v>
      </c>
      <c r="L5">
        <v>2278</v>
      </c>
      <c r="M5">
        <v>1134</v>
      </c>
      <c r="N5">
        <v>30</v>
      </c>
      <c r="O5" t="inlineStr">
        <is>
          <t>seed_verify_datasheet</t>
        </is>
      </c>
      <c r="P5" t="inlineStr">
        <is>
          <t>Starter record for string sizing tests.</t>
        </is>
      </c>
    </row>
    <row r="6">
      <c r="A6" t="inlineStr">
        <is>
          <t>Jinko</t>
        </is>
      </c>
      <c r="B6" t="inlineStr">
        <is>
          <t>Tiger Neo N-type 72HL4</t>
        </is>
      </c>
      <c r="C6" t="inlineStr">
        <is>
          <t>JKM585N-72HL4-V</t>
        </is>
      </c>
      <c r="D6">
        <v>585</v>
      </c>
      <c r="E6">
        <v>44.23</v>
      </c>
      <c r="F6">
        <v>13.23</v>
      </c>
      <c r="G6">
        <v>52.46</v>
      </c>
      <c r="H6">
        <v>14.0</v>
      </c>
      <c r="I6">
        <v>-0.29</v>
      </c>
      <c r="J6">
        <v>-0.25</v>
      </c>
      <c r="K6">
        <v>0.045</v>
      </c>
      <c r="L6">
        <v>2278</v>
      </c>
      <c r="M6">
        <v>1134</v>
      </c>
      <c r="N6">
        <v>30</v>
      </c>
      <c r="O6" t="inlineStr">
        <is>
          <t>seed_verify_datasheet</t>
        </is>
      </c>
      <c r="P6" t="inlineStr">
        <is>
          <t>Starter record for string sizing tests.</t>
        </is>
      </c>
    </row>
    <row r="7">
      <c r="A7" t="inlineStr">
        <is>
          <t>LONGi</t>
        </is>
      </c>
      <c r="B7" t="inlineStr">
        <is>
          <t>Hi-MO 6</t>
        </is>
      </c>
      <c r="C7" t="inlineStr">
        <is>
          <t>LR5-72HTH-565M</t>
        </is>
      </c>
      <c r="D7">
        <v>565</v>
      </c>
      <c r="E7">
        <v>42.94</v>
      </c>
      <c r="F7">
        <v>13.16</v>
      </c>
      <c r="G7">
        <v>51.21</v>
      </c>
      <c r="H7">
        <v>14.01</v>
      </c>
      <c r="I7">
        <v>-0.29</v>
      </c>
      <c r="J7">
        <v>-0.23</v>
      </c>
      <c r="K7">
        <v>0.05</v>
      </c>
      <c r="L7">
        <v>2278</v>
      </c>
      <c r="M7">
        <v>1134</v>
      </c>
      <c r="N7">
        <v>35</v>
      </c>
      <c r="O7" t="inlineStr">
        <is>
          <t>seed_verify_datasheet</t>
        </is>
      </c>
      <c r="P7" t="inlineStr">
        <is>
          <t>Starter record for string sizing tests.</t>
        </is>
      </c>
    </row>
    <row r="8">
      <c r="A8" t="inlineStr">
        <is>
          <t>LONGi</t>
        </is>
      </c>
      <c r="B8" t="inlineStr">
        <is>
          <t>Hi-MO 6</t>
        </is>
      </c>
      <c r="C8" t="inlineStr">
        <is>
          <t>LR5-72HTH-570M</t>
        </is>
      </c>
      <c r="D8">
        <v>570</v>
      </c>
      <c r="E8">
        <v>43.13</v>
      </c>
      <c r="F8">
        <v>13.22</v>
      </c>
      <c r="G8">
        <v>51.4</v>
      </c>
      <c r="H8">
        <v>14.07</v>
      </c>
      <c r="I8">
        <v>-0.29</v>
      </c>
      <c r="J8">
        <v>-0.23</v>
      </c>
      <c r="K8">
        <v>0.05</v>
      </c>
      <c r="L8">
        <v>2278</v>
      </c>
      <c r="M8">
        <v>1134</v>
      </c>
      <c r="N8">
        <v>35</v>
      </c>
      <c r="O8" t="inlineStr">
        <is>
          <t>seed_verify_datasheet</t>
        </is>
      </c>
      <c r="P8" t="inlineStr">
        <is>
          <t>Starter record for string sizing tests.</t>
        </is>
      </c>
    </row>
    <row r="9">
      <c r="A9" t="inlineStr">
        <is>
          <t>LONGi</t>
        </is>
      </c>
      <c r="B9" t="inlineStr">
        <is>
          <t>Hi-MO 6</t>
        </is>
      </c>
      <c r="C9" t="inlineStr">
        <is>
          <t>LR5-72HTH-575M</t>
        </is>
      </c>
      <c r="D9">
        <v>575</v>
      </c>
      <c r="E9">
        <v>43.32</v>
      </c>
      <c r="F9">
        <v>13.28</v>
      </c>
      <c r="G9">
        <v>51.59</v>
      </c>
      <c r="H9">
        <v>14.14</v>
      </c>
      <c r="I9">
        <v>-0.29</v>
      </c>
      <c r="J9">
        <v>-0.23</v>
      </c>
      <c r="K9">
        <v>0.05</v>
      </c>
      <c r="L9">
        <v>2278</v>
      </c>
      <c r="M9">
        <v>1134</v>
      </c>
      <c r="N9">
        <v>35</v>
      </c>
      <c r="O9" t="inlineStr">
        <is>
          <t>seed_verify_datasheet</t>
        </is>
      </c>
      <c r="P9" t="inlineStr">
        <is>
          <t>Starter record for string sizing tests.</t>
        </is>
      </c>
    </row>
    <row r="10">
      <c r="A10" t="inlineStr">
        <is>
          <t>LONGi</t>
        </is>
      </c>
      <c r="B10" t="inlineStr">
        <is>
          <t>Hi-MO 6</t>
        </is>
      </c>
      <c r="C10" t="inlineStr">
        <is>
          <t>LR5-72HTH-580M</t>
        </is>
      </c>
      <c r="D10">
        <v>580</v>
      </c>
      <c r="E10">
        <v>43.51</v>
      </c>
      <c r="F10">
        <v>13.34</v>
      </c>
      <c r="G10">
        <v>51.78</v>
      </c>
      <c r="H10">
        <v>14.2</v>
      </c>
      <c r="I10">
        <v>-0.29</v>
      </c>
      <c r="J10">
        <v>-0.23</v>
      </c>
      <c r="K10">
        <v>0.05</v>
      </c>
      <c r="L10">
        <v>2278</v>
      </c>
      <c r="M10">
        <v>1134</v>
      </c>
      <c r="N10">
        <v>35</v>
      </c>
      <c r="O10" t="inlineStr">
        <is>
          <t>seed_verify_datasheet</t>
        </is>
      </c>
      <c r="P10" t="inlineStr">
        <is>
          <t>Starter record for string sizing tests.</t>
        </is>
      </c>
    </row>
    <row r="11">
      <c r="A11" t="inlineStr">
        <is>
          <t>LONGi</t>
        </is>
      </c>
      <c r="B11" t="inlineStr">
        <is>
          <t>Hi-MO 6</t>
        </is>
      </c>
      <c r="C11" t="inlineStr">
        <is>
          <t>LR5-72HTH-585M</t>
        </is>
      </c>
      <c r="D11">
        <v>585</v>
      </c>
      <c r="E11">
        <v>43.7</v>
      </c>
      <c r="F11">
        <v>13.39</v>
      </c>
      <c r="G11">
        <v>51.97</v>
      </c>
      <c r="H11">
        <v>14.26</v>
      </c>
      <c r="I11">
        <v>-0.29</v>
      </c>
      <c r="J11">
        <v>-0.23</v>
      </c>
      <c r="K11">
        <v>0.05</v>
      </c>
      <c r="L11">
        <v>2278</v>
      </c>
      <c r="M11">
        <v>1134</v>
      </c>
      <c r="N11">
        <v>35</v>
      </c>
      <c r="O11" t="inlineStr">
        <is>
          <t>seed_verify_datasheet</t>
        </is>
      </c>
      <c r="P11" t="inlineStr">
        <is>
          <t>Starter record for string sizing tests.</t>
        </is>
      </c>
    </row>
  </sheetData>
  <pageMargins left="0.7" right="0.7" top="0.75" bottom="0.75" header="0.3" footer="0.3"/>
</worksheet>
</file>