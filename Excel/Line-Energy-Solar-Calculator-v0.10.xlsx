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CableSizing" sheetId="10" r:id="rId10"/>
    <sheet name="ProtectionRules" sheetId="11" r:id="rId11"/>
    <sheet name="MountingRules" sheetId="12" r:id="rId12"/>
    <sheet name="Compatibility" sheetId="13" r:id="rId1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v0.10.0-draft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COUNTA(Equipment!A2:A30)</f>
      </c>
      <c r="C21" t="inlineStr">
        <is>
          <t>items</t>
        </is>
      </c>
      <c r="D21" t="inlineStr">
        <is>
          <t>Generated equipment output</t>
        </is>
      </c>
    </row>
    <row r="22">
      <c r="A22" t="inlineStr">
        <is>
          <t>Protection items</t>
        </is>
      </c>
      <c r="B22" s="3">
        <f>COUNTA(CableProtection!A2:A20)</f>
      </c>
      <c r="C22" t="inlineStr">
        <is>
          <t>items</t>
        </is>
      </c>
      <c r="D22" t="inlineStr">
        <is>
          <t>Generated protection output</t>
        </is>
      </c>
    </row>
    <row r="23">
      <c r="A23" t="inlineStr">
        <is>
          <t>DC cable section</t>
        </is>
      </c>
      <c r="B23" s="3">
        <f>CableProtection!B15</f>
      </c>
      <c r="C23" t="inlineStr">
        <is>
          <t>mm2</t>
        </is>
      </c>
      <c r="D23" t="inlineStr">
        <is>
          <t>Starter sizing</t>
        </is>
      </c>
    </row>
    <row r="24">
      <c r="A24" t="inlineStr">
        <is>
          <t>AC cable section</t>
        </is>
      </c>
      <c r="B24" s="3">
        <f>CableProtection!B19</f>
      </c>
      <c r="C24" t="inlineStr">
        <is>
          <t>mm2</t>
        </is>
      </c>
      <c r="D24" t="inlineStr">
        <is>
          <t>Starter sizing</t>
        </is>
      </c>
    </row>
    <row r="25">
      <c r="A25" t="inlineStr">
        <is>
          <t>Battery cable section</t>
        </is>
      </c>
      <c r="B25" s="3">
        <f>CableProtection!B24</f>
      </c>
      <c r="C25" t="inlineStr">
        <is>
          <t>mm2</t>
        </is>
      </c>
      <c r="D25" t="inlineStr">
        <is>
          <t>Starter sizing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v0.10.0-draft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DC cable route length</t>
        </is>
      </c>
      <c r="B17" s="4">
        <v>30</v>
      </c>
      <c r="C17" t="inlineStr">
        <is>
          <t>m</t>
        </is>
      </c>
      <c r="D17" t="inlineStr">
        <is>
          <t>One-way route length estimate</t>
        </is>
      </c>
    </row>
    <row r="18">
      <c r="A18" t="inlineStr">
        <is>
          <t>AC cable route length</t>
        </is>
      </c>
      <c r="B18" s="4">
        <v>20</v>
      </c>
      <c r="C18" t="inlineStr">
        <is>
          <t>m</t>
        </is>
      </c>
      <c r="D18" t="inlineStr">
        <is>
          <t>One-way route length estimate</t>
        </is>
      </c>
    </row>
    <row r="19">
      <c r="A19" t="inlineStr">
        <is>
          <t>Grounding cable route length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Design note</t>
        </is>
      </c>
      <c r="B20" t="inlineStr">
        <is>
          <t>Starter calculation only</t>
        </is>
      </c>
      <c r="C20" t="inlineStr">
        <is>
          <t/>
        </is>
      </c>
      <c r="D20" t="inlineStr">
        <is>
          <t>Verify datasheets and mounting manuals before commercial use</t>
        </is>
      </c>
    </row>
  </sheetData>
  <dataValidations count="4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">
      <formula1>Metal tile,Standing seam,Trapezoidal sheet,Flat roof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>
        <v>48</v>
      </c>
      <c r="P12" t="inlineStr">
        <is>
          <t/>
        </is>
      </c>
      <c r="Q12" t="inlineStr">
        <is>
          <t>model_only_needs_datasheet</t>
        </is>
      </c>
      <c r="R12" t="inlineStr">
        <is>
          <t>Model list provided by user; datasheet parameters pending.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>
        <v>48</v>
      </c>
      <c r="P13" t="inlineStr">
        <is>
          <t/>
        </is>
      </c>
      <c r="Q13" t="inlineStr">
        <is>
          <t>model_only_needs_datasheet</t>
        </is>
      </c>
      <c r="R13" t="inlineStr">
        <is>
          <t>Model list provided by user; datasheet parameters pending.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>
        <v>48</v>
      </c>
      <c r="P14" t="inlineStr">
        <is>
          <t/>
        </is>
      </c>
      <c r="Q14" t="inlineStr">
        <is>
          <t>model_only_needs_datasheet</t>
        </is>
      </c>
      <c r="R14" t="inlineStr">
        <is>
          <t>Model list provided by user; datasheet parameters pending.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>
        <v>48</v>
      </c>
      <c r="P15" t="inlineStr">
        <is>
          <t/>
        </is>
      </c>
      <c r="Q15" t="inlineStr">
        <is>
          <t>model_only_needs_datasheet</t>
        </is>
      </c>
      <c r="R15" t="inlineStr">
        <is>
          <t>Model list provided by user; datasheet parameters pending.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>
        <v>48</v>
      </c>
      <c r="P16" t="inlineStr">
        <is>
          <t/>
        </is>
      </c>
      <c r="Q16" t="inlineStr">
        <is>
          <t>model_only_needs_datasheet</t>
        </is>
      </c>
      <c r="R16" t="inlineStr">
        <is>
          <t>Model list provided by user; datasheet parameters pending.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48</v>
      </c>
      <c r="P17" t="inlineStr">
        <is>
          <t/>
        </is>
      </c>
      <c r="Q17" t="inlineStr">
        <is>
          <t>model_only_needs_datasheet</t>
        </is>
      </c>
      <c r="R17" t="inlineStr">
        <is>
          <t>Model list provided by user; datasheet parameters pending.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48</v>
      </c>
      <c r="P18" t="inlineStr">
        <is>
          <t/>
        </is>
      </c>
      <c r="Q18" t="inlineStr">
        <is>
          <t>model_only_needs_datasheet</t>
        </is>
      </c>
      <c r="R18" t="inlineStr">
        <is>
          <t>Model list provided by user; datasheet parameters pending.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48</v>
      </c>
      <c r="P19" t="inlineStr">
        <is>
          <t/>
        </is>
      </c>
      <c r="Q19" t="inlineStr">
        <is>
          <t>model_only_needs_datasheet</t>
        </is>
      </c>
      <c r="R19" t="inlineStr">
        <is>
          <t>Model list provided by user; datasheet parameters pending.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48</v>
      </c>
      <c r="P20" t="inlineStr">
        <is>
          <t/>
        </is>
      </c>
      <c r="Q20" t="inlineStr">
        <is>
          <t>model_only_needs_datasheet</t>
        </is>
      </c>
      <c r="R20" t="inlineStr">
        <is>
          <t>Model list provided by user; datasheet parameters pending.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>
        <v>48</v>
      </c>
      <c r="P21" t="inlineStr">
        <is>
          <t/>
        </is>
      </c>
      <c r="Q21" t="inlineStr">
        <is>
          <t>model_only_needs_datasheet</t>
        </is>
      </c>
      <c r="R21" t="inlineStr">
        <is>
          <t>Model list provided by user; datasheet parameters pending.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>
        <v>48</v>
      </c>
      <c r="P22" t="inlineStr">
        <is>
          <t/>
        </is>
      </c>
      <c r="Q22" t="inlineStr">
        <is>
          <t>model_only_needs_datasheet</t>
        </is>
      </c>
      <c r="R22" t="inlineStr">
        <is>
          <t>Model list provided by user; datasheet parameters pending.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>
        <v>48</v>
      </c>
      <c r="P23" t="inlineStr">
        <is>
          <t/>
        </is>
      </c>
      <c r="Q23" t="inlineStr">
        <is>
          <t>model_only_needs_datasheet</t>
        </is>
      </c>
      <c r="R23" t="inlineStr">
        <is>
          <t>Model list provided by user; datasheet parameters pending.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>
        <v>48</v>
      </c>
      <c r="P24" t="inlineStr">
        <is>
          <t/>
        </is>
      </c>
      <c r="Q24" t="inlineStr">
        <is>
          <t>model_only_needs_datasheet</t>
        </is>
      </c>
      <c r="R24" t="inlineStr">
        <is>
          <t>Model list provided by user; datasheet parameters pending.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>
        <v>48</v>
      </c>
      <c r="P25" t="inlineStr">
        <is>
          <t/>
        </is>
      </c>
      <c r="Q25" t="inlineStr">
        <is>
          <t>model_only_needs_datasheet</t>
        </is>
      </c>
      <c r="R25" t="inlineStr">
        <is>
          <t>Model list provided by user; datasheet parameters pending.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>
        <v>48</v>
      </c>
      <c r="P26" t="inlineStr">
        <is>
          <t/>
        </is>
      </c>
      <c r="Q26" t="inlineStr">
        <is>
          <t>model_only_needs_datasheet</t>
        </is>
      </c>
      <c r="R26" t="inlineStr">
        <is>
          <t>Model list provided by user; datasheet parameters pending.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>
        <v>48</v>
      </c>
      <c r="P27" t="inlineStr">
        <is>
          <t/>
        </is>
      </c>
      <c r="Q27" t="inlineStr">
        <is>
          <t>model_only_needs_datasheet</t>
        </is>
      </c>
      <c r="R27" t="inlineStr">
        <is>
          <t>Model list provided by user; datasheet parameters pending.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>
        <v>48</v>
      </c>
      <c r="P28" t="inlineStr">
        <is>
          <t/>
        </is>
      </c>
      <c r="Q28" t="inlineStr">
        <is>
          <t>model_only_needs_datasheet</t>
        </is>
      </c>
      <c r="R28" t="inlineStr">
        <is>
          <t>Model list provided by user; datasheet parameters pending.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>
        <v>48</v>
      </c>
      <c r="P29" t="inlineStr">
        <is>
          <t/>
        </is>
      </c>
      <c r="Q29" t="inlineStr">
        <is>
          <t>model_only_needs_datasheet</t>
        </is>
      </c>
      <c r="R29" t="inlineStr">
        <is>
          <t>Model list provided by user; datasheet parameters pending.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>
        <v>48</v>
      </c>
      <c r="P30" t="inlineStr">
        <is>
          <t/>
        </is>
      </c>
      <c r="Q30" t="inlineStr">
        <is>
          <t>model_only_needs_datasheet</t>
        </is>
      </c>
      <c r="R30" t="inlineStr">
        <is>
          <t>Model list provided by user; datasheet parameters pending.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model_only_needs_datasheet</t>
        </is>
      </c>
      <c r="R80" t="inlineStr">
        <is>
          <t>Model list provided by user; datasheet parameters pending.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</t>
        </is>
      </c>
      <c r="B11" s="3">
        <f>ROUNDUP((SUMIFS(MountingRules!D:D,MountingRules!A:A,B2,MountingRules!B:B,"Roof hook")+SUMIFS(MountingRules!D:D,MountingRules!A:A,B2,MountingRules!B:B,"Mini rail clamp"))*B3*(1+B9/100),0)</f>
      </c>
      <c r="C11" t="inlineStr">
        <is>
          <t>pcs</t>
        </is>
      </c>
      <c r="D11" t="inlineStr">
        <is>
          <t>Hooks or seam clamps depending on roof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Documentation</t>
        </is>
      </c>
      <c r="B32" t="inlineStr">
        <is>
          <t>Datasheet verification</t>
        </is>
      </c>
      <c r="C32">
        <v>1</v>
      </c>
      <c r="D32" t="inlineStr">
        <is>
          <t>task</t>
        </is>
      </c>
      <c r="E32" t="inlineStr">
        <is>
          <t>Required before commercial use</t>
        </is>
      </c>
    </row>
  </sheetData>
  <autoFilter ref="A1:E3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6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Quantity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DC cable route length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DC cable route length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AC cable route length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MAX(4,LOOKUP(Results!B12*Inputs!B8,CableSizing!B:B,CableSizing!A:A))</f>
      </c>
      <c r="C15" t="inlineStr">
        <is>
          <t>Unit</t>
        </is>
      </c>
      <c r="D15" t="inlineStr">
        <is>
          <t>Formula / meaning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</sheetData>
  <autoFilter ref="A1:J3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