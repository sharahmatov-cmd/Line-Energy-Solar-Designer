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BulkCompatibility" sheetId="10" r:id="rId10"/>
    <sheet name="Economics" sheetId="11" r:id="rId11"/>
    <sheet name="SystemOptions" sheetId="12" r:id="rId12"/>
    <sheet name="Lifetime" sheetId="13" r:id="rId13"/>
    <sheet name="OptionTiers" sheetId="14" r:id="rId14"/>
    <sheet name="MonthlyGeneration" sheetId="15" r:id="rId15"/>
    <sheet name="MonthlyYieldProfile" sheetId="16" r:id="rId16"/>
    <sheet name="CableSizing" sheetId="17" r:id="rId17"/>
    <sheet name="ProtectionRules" sheetId="18" r:id="rId18"/>
    <sheet name="SpdRules" sheetId="19" r:id="rId19"/>
    <sheet name="EarthingRules" sheetId="20" r:id="rId20"/>
    <sheet name="CableDerating" sheetId="21" r:id="rId21"/>
    <sheet name="MountingRules" sheetId="22" r:id="rId22"/>
    <sheet name="Regions" sheetId="23" r:id="rId23"/>
    <sheet name="Tariffs" sheetId="24" r:id="rId24"/>
    <sheet name="Compatibility" sheetId="25" r:id="rId2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v0.19.0-draft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COUNTA(Equipment!A2:A35)</f>
      </c>
      <c r="C21" t="inlineStr">
        <is>
          <t>items</t>
        </is>
      </c>
      <c r="D21" t="inlineStr">
        <is>
          <t>Generated equipment output</t>
        </is>
      </c>
    </row>
    <row r="22">
      <c r="A22" t="inlineStr">
        <is>
          <t>Protection items</t>
        </is>
      </c>
      <c r="B22" s="3">
        <f>COUNTA(CableProtection!A2:A32)</f>
      </c>
      <c r="C22" t="inlineStr">
        <is>
          <t>items</t>
        </is>
      </c>
      <c r="D22" t="inlineStr">
        <is>
          <t>Generated protection output</t>
        </is>
      </c>
    </row>
    <row r="23">
      <c r="A23" t="inlineStr">
        <is>
          <t>DC cable section</t>
        </is>
      </c>
      <c r="B23" s="3">
        <f>CableProtection!B15</f>
      </c>
      <c r="C23" t="inlineStr">
        <is>
          <t>mm2</t>
        </is>
      </c>
      <c r="D23" t="inlineStr">
        <is>
          <t>Starter sizing</t>
        </is>
      </c>
    </row>
    <row r="24">
      <c r="A24" t="inlineStr">
        <is>
          <t>AC cable section</t>
        </is>
      </c>
      <c r="B24" s="3">
        <f>CableProtection!B19</f>
      </c>
      <c r="C24" t="inlineStr">
        <is>
          <t>mm2</t>
        </is>
      </c>
      <c r="D24" t="inlineStr">
        <is>
          <t>Starter sizing</t>
        </is>
      </c>
    </row>
    <row r="25">
      <c r="A25" t="inlineStr">
        <is>
          <t>Battery cable section</t>
        </is>
      </c>
      <c r="B25" s="3">
        <f>CableProtection!B24</f>
      </c>
      <c r="C25" t="inlineStr">
        <is>
          <t>mm2</t>
        </is>
      </c>
      <c r="D25" t="inlineStr">
        <is>
          <t>Starter sizing</t>
        </is>
      </c>
    </row>
    <row r="26">
      <c r="A26" t="inlineStr">
        <is>
          <t>SPD recommendation</t>
        </is>
      </c>
      <c r="B26" s="3">
        <f>CableProtection!B28</f>
      </c>
      <c r="C26" t="inlineStr">
        <is>
          <t/>
        </is>
      </c>
      <c r="D26" t="inlineStr">
        <is>
          <t>Starter protection selection</t>
        </is>
      </c>
    </row>
    <row r="27">
      <c r="A27" t="inlineStr">
        <is>
          <t>Earthing system</t>
        </is>
      </c>
      <c r="B27" s="3">
        <f>CableProtection!B29</f>
      </c>
      <c r="C27" t="inlineStr">
        <is>
          <t/>
        </is>
      </c>
      <c r="D27" t="inlineStr">
        <is>
          <t>Selected AC earthing system</t>
        </is>
      </c>
    </row>
    <row r="28">
      <c r="A28" t="inlineStr">
        <is>
          <t>Cable derating factor</t>
        </is>
      </c>
      <c r="B28" s="3">
        <f>CableProtection!B30</f>
      </c>
      <c r="C28" t="inlineStr">
        <is>
          <t>factor</t>
        </is>
      </c>
      <c r="D28" t="inlineStr">
        <is>
          <t>Grouping x ambient factors</t>
        </is>
      </c>
    </row>
    <row r="29">
      <c r="A29" t="inlineStr">
        <is>
          <t>Bulk scenarios</t>
        </is>
      </c>
      <c r="B29" s="3">
        <f>COUNTA(BulkCompatibility!A2:A100)</f>
      </c>
      <c r="C29" t="inlineStr">
        <is>
          <t>rows</t>
        </is>
      </c>
      <c r="D29" t="inlineStr">
        <is>
          <t>Mass compatibility table</t>
        </is>
      </c>
    </row>
    <row r="30">
      <c r="A30" t="inlineStr">
        <is>
          <t>Bulk PASS</t>
        </is>
      </c>
      <c r="B30" s="3">
        <f>COUNTIF(BulkCompatibility!L2:L100,"PASS")</f>
      </c>
      <c r="C30" t="inlineStr">
        <is>
          <t>rows</t>
        </is>
      </c>
      <c r="D30" t="inlineStr">
        <is>
          <t>Bulk compatibility count</t>
        </is>
      </c>
    </row>
    <row r="31">
      <c r="A31" t="inlineStr">
        <is>
          <t>Bulk FAIL</t>
        </is>
      </c>
      <c r="B31" s="3">
        <f>COUNTIF(BulkCompatibility!L2:L100,"FAIL")</f>
      </c>
      <c r="C31" t="inlineStr">
        <is>
          <t>rows</t>
        </is>
      </c>
      <c r="D31" t="inlineStr">
        <is>
          <t>Bulk compatibility count</t>
        </is>
      </c>
    </row>
    <row r="32">
      <c r="A32" t="inlineStr">
        <is>
          <t>Bulk VERIFY</t>
        </is>
      </c>
      <c r="B32" s="3">
        <f>COUNTIF(BulkCompatibility!L2:L100,"VERIFY")</f>
      </c>
      <c r="C32" t="inlineStr">
        <is>
          <t>rows</t>
        </is>
      </c>
      <c r="D32" t="inlineStr">
        <is>
          <t>Bulk compatibility count</t>
        </is>
      </c>
    </row>
    <row r="33">
      <c r="A33" t="inlineStr">
        <is>
          <t>Region</t>
        </is>
      </c>
      <c r="B33" s="3">
        <f>Economics!B2</f>
      </c>
      <c r="C33" t="inlineStr">
        <is>
          <t/>
        </is>
      </c>
      <c r="D33" t="inlineStr">
        <is>
          <t>Economics input</t>
        </is>
      </c>
    </row>
    <row r="34">
      <c r="A34" t="inlineStr">
        <is>
          <t>Annual generation</t>
        </is>
      </c>
      <c r="B34" s="3">
        <f>Economics!B8</f>
      </c>
      <c r="C34" t="inlineStr">
        <is>
          <t>kWh/year</t>
        </is>
      </c>
      <c r="D34" t="inlineStr">
        <is>
          <t>Regional yield estimate</t>
        </is>
      </c>
    </row>
    <row r="35">
      <c r="A35" t="inlineStr">
        <is>
          <t>Annual savings</t>
        </is>
      </c>
      <c r="B35" s="3">
        <f>Economics!B12</f>
      </c>
      <c r="C35" t="inlineStr">
        <is>
          <t>RUB/year</t>
        </is>
      </c>
      <c r="D35" t="inlineStr">
        <is>
          <t>Self-consumption plus export</t>
        </is>
      </c>
    </row>
    <row r="36">
      <c r="A36" t="inlineStr">
        <is>
          <t>Simple payback</t>
        </is>
      </c>
      <c r="B36" s="3">
        <f>Economics!B13</f>
      </c>
      <c r="C36" t="inlineStr">
        <is>
          <t>years</t>
        </is>
      </c>
      <c r="D36" t="inlineStr">
        <is>
          <t>Installed cost / annual savings</t>
        </is>
      </c>
    </row>
    <row r="37">
      <c r="A37" t="inlineStr">
        <is>
          <t>Tariff source status</t>
        </is>
      </c>
      <c r="B37" s="3">
        <f>Economics!B15</f>
      </c>
      <c r="C37" t="inlineStr">
        <is>
          <t/>
        </is>
      </c>
      <c r="D37" t="inlineStr">
        <is>
          <t>Must be verified</t>
        </is>
      </c>
    </row>
    <row r="38">
      <c r="A38" t="inlineStr">
        <is>
          <t>Monthly consumption</t>
        </is>
      </c>
      <c r="B38" s="3">
        <f>Inputs!B29</f>
      </c>
      <c r="C38" t="inlineStr">
        <is>
          <t>kWh/month</t>
        </is>
      </c>
      <c r="D38" t="inlineStr">
        <is>
          <t>Customer input</t>
        </is>
      </c>
    </row>
    <row r="39">
      <c r="A39" t="inlineStr">
        <is>
          <t>Target coverage</t>
        </is>
      </c>
      <c r="B39" s="3">
        <f>Inputs!B30</f>
      </c>
      <c r="C39" t="inlineStr">
        <is>
          <t>%</t>
        </is>
      </c>
      <c r="D39" t="inlineStr">
        <is>
          <t>Option sizing target</t>
        </is>
      </c>
    </row>
    <row r="40">
      <c r="A40" t="inlineStr">
        <is>
          <t>Recommended standard size</t>
        </is>
      </c>
      <c r="B40" s="3">
        <f>SystemOptions!H3</f>
      </c>
      <c r="C40" t="inlineStr">
        <is>
          <t>kWp</t>
        </is>
      </c>
      <c r="D40" t="inlineStr">
        <is>
          <t>SystemOptions</t>
        </is>
      </c>
    </row>
    <row r="41">
      <c r="A41" t="inlineStr">
        <is>
          <t>Standard option annual generation</t>
        </is>
      </c>
      <c r="B41" s="3">
        <f>SystemOptions!K3</f>
      </c>
      <c r="C41" t="inlineStr">
        <is>
          <t>kWh/year</t>
        </is>
      </c>
      <c r="D41" t="inlineStr">
        <is>
          <t>SystemOptions</t>
        </is>
      </c>
    </row>
    <row r="42">
      <c r="A42" t="inlineStr">
        <is>
          <t>Standard option payback day-night</t>
        </is>
      </c>
      <c r="B42" s="3">
        <f>SystemOptions!R3</f>
      </c>
      <c r="C42" t="inlineStr">
        <is>
          <t>years</t>
        </is>
      </c>
      <c r="D42" t="inlineStr">
        <is>
          <t>SystemOptions</t>
        </is>
      </c>
    </row>
    <row r="43">
      <c r="A43" t="inlineStr">
        <is>
          <t>Best month generation</t>
        </is>
      </c>
      <c r="B43" s="3">
        <f>MAX(MonthlyGeneration!B2:B13)</f>
      </c>
      <c r="C43" t="inlineStr">
        <is>
          <t>kWh/month</t>
        </is>
      </c>
      <c r="D43" t="inlineStr">
        <is>
          <t>MonthlyGeneration</t>
        </is>
      </c>
    </row>
    <row r="44">
      <c r="A44" t="inlineStr">
        <is>
          <t>Worst month generation</t>
        </is>
      </c>
      <c r="B44" s="3">
        <f>MIN(MonthlyGeneration!B2:B13)</f>
      </c>
      <c r="C44" t="inlineStr">
        <is>
          <t>kWh/month</t>
        </is>
      </c>
      <c r="D44" t="inlineStr">
        <is>
          <t>MonthlyGeneration</t>
        </is>
      </c>
    </row>
    <row r="45">
      <c r="A45" t="inlineStr">
        <is>
          <t>Monthly self-consumption value</t>
        </is>
      </c>
      <c r="B45" s="3">
        <f>SUM(MonthlyGeneration!E2:E13)</f>
      </c>
      <c r="C45" t="inlineStr">
        <is>
          <t>RUB/year</t>
        </is>
      </c>
      <c r="D45" t="inlineStr">
        <is>
          <t>MonthlyGeneration</t>
        </is>
      </c>
    </row>
    <row r="46">
      <c r="A46" t="inlineStr">
        <is>
          <t>Monthly export value</t>
        </is>
      </c>
      <c r="B46" s="3">
        <f>SUM(MonthlyGeneration!F2:F13)</f>
      </c>
      <c r="C46" t="inlineStr">
        <is>
          <t>RUB/year</t>
        </is>
      </c>
      <c r="D46" t="inlineStr">
        <is>
          <t>MonthlyGeneration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v0.19.0-draft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DC cable route length</t>
        </is>
      </c>
      <c r="B17" s="4">
        <v>30</v>
      </c>
      <c r="C17" t="inlineStr">
        <is>
          <t>m</t>
        </is>
      </c>
      <c r="D17" t="inlineStr">
        <is>
          <t>One-way route length estimate</t>
        </is>
      </c>
    </row>
    <row r="18">
      <c r="A18" t="inlineStr">
        <is>
          <t>AC cable route length</t>
        </is>
      </c>
      <c r="B18" s="4">
        <v>20</v>
      </c>
      <c r="C18" t="inlineStr">
        <is>
          <t>m</t>
        </is>
      </c>
      <c r="D18" t="inlineStr">
        <is>
          <t>One-way route length estimate</t>
        </is>
      </c>
    </row>
    <row r="19">
      <c r="A19" t="inlineStr">
        <is>
          <t>Grounding cable route length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Installation method</t>
        </is>
      </c>
      <c r="B20" t="inlineStr" s="4">
        <is>
          <t>Open air</t>
        </is>
      </c>
      <c r="C20" t="inlineStr">
        <is>
          <t/>
        </is>
      </c>
      <c r="D20" t="inlineStr">
        <is>
          <t>Used for cable derating notes</t>
        </is>
      </c>
    </row>
    <row r="21">
      <c r="A21" t="inlineStr">
        <is>
          <t>Cable grouping derating</t>
        </is>
      </c>
      <c r="B21" s="4">
        <v>1</v>
      </c>
      <c r="C21" t="inlineStr">
        <is>
          <t>factor</t>
        </is>
      </c>
      <c r="D21" t="inlineStr">
        <is>
          <t>Starter factor; adjust by local rules</t>
        </is>
      </c>
    </row>
    <row r="22">
      <c r="A22" t="inlineStr">
        <is>
          <t>Ambient temperature derating</t>
        </is>
      </c>
      <c r="B22" s="4">
        <v>1</v>
      </c>
      <c r="C22" t="inlineStr">
        <is>
          <t>factor</t>
        </is>
      </c>
      <c r="D22" t="inlineStr">
        <is>
          <t>Starter factor; adjust by local rules</t>
        </is>
      </c>
    </row>
    <row r="23">
      <c r="A23" t="inlineStr">
        <is>
          <t>Lightning protection system</t>
        </is>
      </c>
      <c r="B23" t="inlineStr" s="4">
        <is>
          <t>No external LPS</t>
        </is>
      </c>
      <c r="C23" t="inlineStr">
        <is>
          <t/>
        </is>
      </c>
      <c r="D23" t="inlineStr">
        <is>
          <t>Used for SPD type suggestion</t>
        </is>
      </c>
    </row>
    <row r="24">
      <c r="A24" t="inlineStr">
        <is>
          <t>AC earthing system</t>
        </is>
      </c>
      <c r="B24" t="inlineStr" s="4">
        <is>
          <t>TN-S</t>
        </is>
      </c>
      <c r="C24" t="inlineStr">
        <is>
          <t/>
        </is>
      </c>
      <c r="D24" t="inlineStr">
        <is>
          <t>Used for earthing checklist</t>
        </is>
      </c>
    </row>
    <row r="25">
      <c r="A25" t="inlineStr">
        <is>
          <t>Region / tariff zone</t>
        </is>
      </c>
      <c r="B25" t="inlineStr" s="4">
        <is>
          <t>Moscow starter</t>
        </is>
      </c>
      <c r="C25" t="inlineStr">
        <is>
          <t/>
        </is>
      </c>
      <c r="D25" t="inlineStr">
        <is>
          <t>Choose from tariff database</t>
        </is>
      </c>
    </row>
    <row r="26">
      <c r="A26" t="inlineStr">
        <is>
          <t>Self-consumption share</t>
        </is>
      </c>
      <c r="B26" s="4">
        <v>70</v>
      </c>
      <c r="C26" t="inlineStr">
        <is>
          <t>%</t>
        </is>
      </c>
      <c r="D26" t="inlineStr">
        <is>
          <t>Share of generation consumed on site</t>
        </is>
      </c>
    </row>
    <row r="27">
      <c r="A27" t="inlineStr">
        <is>
          <t>Installed system cost</t>
        </is>
      </c>
      <c r="B27" s="4">
        <v>800000</v>
      </c>
      <c r="C27" t="inlineStr">
        <is>
          <t>RUB</t>
        </is>
      </c>
      <c r="D27" t="inlineStr">
        <is>
          <t>Used for simple payback estimate</t>
        </is>
      </c>
    </row>
    <row r="28">
      <c r="A28" t="inlineStr">
        <is>
          <t>Tariff source status</t>
        </is>
      </c>
      <c r="B28" t="inlineStr" s="4">
        <is>
          <t>VERIFY</t>
        </is>
      </c>
      <c r="C28" t="inlineStr">
        <is>
          <t/>
        </is>
      </c>
      <c r="D28" t="inlineStr">
        <is>
          <t>Tariffs must be checked for exact supplier/date</t>
        </is>
      </c>
    </row>
    <row r="29">
      <c r="A29" t="inlineStr">
        <is>
          <t>Monthly consumption</t>
        </is>
      </c>
      <c r="B29" s="4">
        <v>1000</v>
      </c>
      <c r="C29" t="inlineStr">
        <is>
          <t>kWh/month</t>
        </is>
      </c>
      <c r="D29" t="inlineStr">
        <is>
          <t>Customer monthly electricity consumption</t>
        </is>
      </c>
    </row>
    <row r="30">
      <c r="A30" t="inlineStr">
        <is>
          <t>Target coverage</t>
        </is>
      </c>
      <c r="B30" s="4">
        <v>70</v>
      </c>
      <c r="C30" t="inlineStr">
        <is>
          <t>%</t>
        </is>
      </c>
      <c r="D30" t="inlineStr">
        <is>
          <t>Recommended options cover this share of annual consumption</t>
        </is>
      </c>
    </row>
    <row r="31">
      <c r="A31" t="inlineStr">
        <is>
          <t>Tariff mode</t>
        </is>
      </c>
      <c r="B31" t="inlineStr" s="4">
        <is>
          <t>Single-rate</t>
        </is>
      </c>
      <c r="C31" t="inlineStr">
        <is>
          <t/>
        </is>
      </c>
      <c r="D31" t="inlineStr">
        <is>
          <t>Single-rate or Day-night comparison</t>
        </is>
      </c>
    </row>
    <row r="32">
      <c r="A32" t="inlineStr">
        <is>
          <t>Day consumption share</t>
        </is>
      </c>
      <c r="B32" s="4">
        <v>65</v>
      </c>
      <c r="C32" t="inlineStr">
        <is>
          <t>%</t>
        </is>
      </c>
      <c r="D32" t="inlineStr">
        <is>
          <t>Used for day-night tariff comparison</t>
        </is>
      </c>
    </row>
    <row r="33">
      <c r="A33" t="inlineStr">
        <is>
          <t>Day tariff</t>
        </is>
      </c>
      <c r="B33" s="4">
        <v>9.8</v>
      </c>
      <c r="C33" t="inlineStr">
        <is>
          <t>RUB/kWh</t>
        </is>
      </c>
      <c r="D33" t="inlineStr">
        <is>
          <t>Starter day tariff; verify supplier/date</t>
        </is>
      </c>
    </row>
    <row r="34">
      <c r="A34" t="inlineStr">
        <is>
          <t>Night tariff</t>
        </is>
      </c>
      <c r="B34" s="4">
        <v>3.5</v>
      </c>
      <c r="C34" t="inlineStr">
        <is>
          <t>RUB/kWh</t>
        </is>
      </c>
      <c r="D34" t="inlineStr">
        <is>
          <t>Starter night tariff; verify supplier/date</t>
        </is>
      </c>
    </row>
    <row r="35">
      <c r="A35" t="inlineStr">
        <is>
          <t>Design note</t>
        </is>
      </c>
      <c r="B35" t="inlineStr">
        <is>
          <t>Starter calculation only</t>
        </is>
      </c>
      <c r="C35" t="inlineStr">
        <is>
          <t/>
        </is>
      </c>
      <c r="D35" t="inlineStr">
        <is>
          <t>Verify datasheets and mounting manuals before commercial use</t>
        </is>
      </c>
    </row>
  </sheetData>
  <dataValidations count="9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 or ground mount">
      <formula1>Metal tile,Standing seam,Trapezoidal sheet,Flat roof,Ground mount</formula1>
    </dataValidation>
    <dataValidation type="list" allowBlank="0" showInputMessage="1" sqref="B20" promptTitle="Installation method" prompt="Choose cable installation method">
      <formula1>Open air,Conduit or trunking,Thermal insulation</formula1>
    </dataValidation>
    <dataValidation type="list" allowBlank="0" showInputMessage="1" sqref="B23" promptTitle="Lightning protection" prompt="Choose lightning protection condition">
      <formula1>No external LPS,External LPS,Overhead supply,Long outdoor DC route</formula1>
    </dataValidation>
    <dataValidation type="list" allowBlank="0" showInputMessage="1" sqref="B24" promptTitle="Earthing system" prompt="Choose AC earthing system">
      <formula1>TN-S,TN-C-S,TT,IT</formula1>
    </dataValidation>
    <dataValidation type="list" allowBlank="0" showInputMessage="1" sqref="B25" promptTitle="Region" prompt="Choose tariff region">
      <formula1>Tariffs!$A$2:$A$6</formula1>
    </dataValidation>
    <dataValidation type="list" allowBlank="0" showInputMessage="1" sqref="B31" promptTitle="Tariff mode" prompt="Choose tariff comparison mode">
      <formula1>Single-rate,Day-night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>
        <v>7200</v>
      </c>
      <c r="G12">
        <v>500</v>
      </c>
      <c r="H12">
        <v>125</v>
      </c>
      <c r="I12">
        <v>150</v>
      </c>
      <c r="J12">
        <v>425</v>
      </c>
      <c r="K12">
        <v>2</v>
      </c>
      <c r="L12" t="inlineStr">
        <is>
          <t>2+2</t>
        </is>
      </c>
      <c r="M12">
        <v>32</v>
      </c>
      <c r="N12">
        <v>48</v>
      </c>
      <c r="O12">
        <v>48</v>
      </c>
      <c r="P12" t="inlineStr">
        <is>
          <t>40-60</t>
        </is>
      </c>
      <c r="Q12" t="inlineStr">
        <is>
          <t>datasheet_local_pdf_verified</t>
        </is>
      </c>
      <c r="R12" t="inlineStr">
        <is>
          <t>Local PDF: SUN-_3.6-10_K-SG05LP1-EU-AM2-P_RU.pdf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>
        <v>10000</v>
      </c>
      <c r="G13">
        <v>500</v>
      </c>
      <c r="H13">
        <v>125</v>
      </c>
      <c r="I13">
        <v>150</v>
      </c>
      <c r="J13">
        <v>425</v>
      </c>
      <c r="K13">
        <v>2</v>
      </c>
      <c r="L13" t="inlineStr">
        <is>
          <t>2+2</t>
        </is>
      </c>
      <c r="M13">
        <v>32</v>
      </c>
      <c r="N13">
        <v>48</v>
      </c>
      <c r="O13">
        <v>48</v>
      </c>
      <c r="P13" t="inlineStr">
        <is>
          <t>40-60</t>
        </is>
      </c>
      <c r="Q13" t="inlineStr">
        <is>
          <t>datasheet_local_pdf_verified</t>
        </is>
      </c>
      <c r="R13" t="inlineStr">
        <is>
          <t>Local PDF: SUN-_3.6-10_K-SG05LP1-EU-AM2-P_RU.pdf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>
        <v>12000</v>
      </c>
      <c r="G14">
        <v>500</v>
      </c>
      <c r="H14">
        <v>125</v>
      </c>
      <c r="I14">
        <v>150</v>
      </c>
      <c r="J14">
        <v>425</v>
      </c>
      <c r="K14">
        <v>2</v>
      </c>
      <c r="L14" t="inlineStr">
        <is>
          <t>2+2</t>
        </is>
      </c>
      <c r="M14">
        <v>32</v>
      </c>
      <c r="N14">
        <v>48</v>
      </c>
      <c r="O14">
        <v>48</v>
      </c>
      <c r="P14" t="inlineStr">
        <is>
          <t>40-60</t>
        </is>
      </c>
      <c r="Q14" t="inlineStr">
        <is>
          <t>datasheet_local_pdf_verified</t>
        </is>
      </c>
      <c r="R14" t="inlineStr">
        <is>
          <t>Local PDF: SUN-_3.6-10_K-SG05LP1-EU-AM2-P_RU.pdf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>
        <v>16000</v>
      </c>
      <c r="G15">
        <v>500</v>
      </c>
      <c r="H15">
        <v>125</v>
      </c>
      <c r="I15">
        <v>150</v>
      </c>
      <c r="J15">
        <v>425</v>
      </c>
      <c r="K15">
        <v>2</v>
      </c>
      <c r="L15" t="inlineStr">
        <is>
          <t>2+2</t>
        </is>
      </c>
      <c r="M15">
        <v>32</v>
      </c>
      <c r="N15">
        <v>48</v>
      </c>
      <c r="O15">
        <v>48</v>
      </c>
      <c r="P15" t="inlineStr">
        <is>
          <t>40-60</t>
        </is>
      </c>
      <c r="Q15" t="inlineStr">
        <is>
          <t>datasheet_local_pdf_verified</t>
        </is>
      </c>
      <c r="R15" t="inlineStr">
        <is>
          <t>Local PDF: SUN-_3.6-10_K-SG05LP1-EU-AM2-P_RU.pdf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>
        <v>20000</v>
      </c>
      <c r="G16">
        <v>500</v>
      </c>
      <c r="H16">
        <v>125</v>
      </c>
      <c r="I16">
        <v>150</v>
      </c>
      <c r="J16">
        <v>425</v>
      </c>
      <c r="K16">
        <v>3</v>
      </c>
      <c r="L16" t="inlineStr">
        <is>
          <t>2+2+2</t>
        </is>
      </c>
      <c r="M16">
        <v>32</v>
      </c>
      <c r="N16">
        <v>60</v>
      </c>
      <c r="O16">
        <v>48</v>
      </c>
      <c r="P16" t="inlineStr">
        <is>
          <t>40-60</t>
        </is>
      </c>
      <c r="Q16" t="inlineStr">
        <is>
          <t>datasheet_local_pdf_verified</t>
        </is>
      </c>
      <c r="R16" t="inlineStr">
        <is>
          <t>Local PDF: SUN-_7.6-12_K-SG02LP1-EU-AM2-P_RU.pdf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>
        <v>24000</v>
      </c>
      <c r="G17">
        <v>500</v>
      </c>
      <c r="H17">
        <v>125</v>
      </c>
      <c r="I17">
        <v>150</v>
      </c>
      <c r="J17">
        <v>425</v>
      </c>
      <c r="K17">
        <v>3</v>
      </c>
      <c r="L17" t="inlineStr">
        <is>
          <t>2+2+2</t>
        </is>
      </c>
      <c r="M17">
        <v>32</v>
      </c>
      <c r="N17">
        <v>60</v>
      </c>
      <c r="O17">
        <v>48</v>
      </c>
      <c r="P17" t="inlineStr">
        <is>
          <t>40-60</t>
        </is>
      </c>
      <c r="Q17" t="inlineStr">
        <is>
          <t>datasheet_local_pdf_verified</t>
        </is>
      </c>
      <c r="R17" t="inlineStr">
        <is>
          <t>Local PDF: SUN-_7.6-12_K-SG02LP1-EU-AM2-P_RU.pdf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>
        <v>28000</v>
      </c>
      <c r="G18">
        <v>500</v>
      </c>
      <c r="H18">
        <v>125</v>
      </c>
      <c r="I18">
        <v>150</v>
      </c>
      <c r="J18">
        <v>425</v>
      </c>
      <c r="K18">
        <v>3</v>
      </c>
      <c r="L18" t="inlineStr">
        <is>
          <t>2+2+2</t>
        </is>
      </c>
      <c r="M18">
        <v>36</v>
      </c>
      <c r="N18">
        <v>54</v>
      </c>
      <c r="O18">
        <v>48</v>
      </c>
      <c r="P18" t="inlineStr">
        <is>
          <t>40-60</t>
        </is>
      </c>
      <c r="Q18" t="inlineStr">
        <is>
          <t>datasheet_local_pdf_verified</t>
        </is>
      </c>
      <c r="R18" t="inlineStr">
        <is>
          <t>Local PDF: SUN-_12-18_K-SG01LP1-EU-AM3-P_RU.pdf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>
        <v>32000</v>
      </c>
      <c r="G19">
        <v>500</v>
      </c>
      <c r="H19">
        <v>125</v>
      </c>
      <c r="I19">
        <v>150</v>
      </c>
      <c r="J19">
        <v>425</v>
      </c>
      <c r="K19">
        <v>3</v>
      </c>
      <c r="L19" t="inlineStr">
        <is>
          <t>2+2+2</t>
        </is>
      </c>
      <c r="M19">
        <v>36</v>
      </c>
      <c r="N19">
        <v>54</v>
      </c>
      <c r="O19">
        <v>48</v>
      </c>
      <c r="P19" t="inlineStr">
        <is>
          <t>40-60</t>
        </is>
      </c>
      <c r="Q19" t="inlineStr">
        <is>
          <t>datasheet_local_pdf_verified</t>
        </is>
      </c>
      <c r="R19" t="inlineStr">
        <is>
          <t>Local PDF: SUN-_12-18_K-SG01LP1-EU-AM3-P_RU.pdf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>
        <v>36000</v>
      </c>
      <c r="G20">
        <v>500</v>
      </c>
      <c r="H20">
        <v>125</v>
      </c>
      <c r="I20">
        <v>150</v>
      </c>
      <c r="J20">
        <v>425</v>
      </c>
      <c r="K20">
        <v>3</v>
      </c>
      <c r="L20" t="inlineStr">
        <is>
          <t>2+2+2</t>
        </is>
      </c>
      <c r="M20">
        <v>36</v>
      </c>
      <c r="N20">
        <v>54</v>
      </c>
      <c r="O20">
        <v>48</v>
      </c>
      <c r="P20" t="inlineStr">
        <is>
          <t>40-60</t>
        </is>
      </c>
      <c r="Q20" t="inlineStr">
        <is>
          <t>datasheet_local_pdf_verified</t>
        </is>
      </c>
      <c r="R20" t="inlineStr">
        <is>
          <t>Local PDF: SUN-_12-18_K-SG01LP1-EU-AM3-P_RU.pdf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>
        <v>10000</v>
      </c>
      <c r="G21">
        <v>800</v>
      </c>
      <c r="H21">
        <v>160</v>
      </c>
      <c r="I21">
        <v>200</v>
      </c>
      <c r="J21">
        <v>650</v>
      </c>
      <c r="K21">
        <v>2</v>
      </c>
      <c r="L21" t="inlineStr">
        <is>
          <t>1+1</t>
        </is>
      </c>
      <c r="M21">
        <v>20</v>
      </c>
      <c r="N21">
        <v>30</v>
      </c>
      <c r="O21">
        <v>48</v>
      </c>
      <c r="P21" t="inlineStr">
        <is>
          <t>40-60</t>
        </is>
      </c>
      <c r="Q21" t="inlineStr">
        <is>
          <t>datasheet_local_pdf_verified</t>
        </is>
      </c>
      <c r="R21" t="inlineStr">
        <is>
          <t>Local PDF: SUN-_3-12_K-SG05LP3-EU-SM2_RU.pdf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>
        <v>12000</v>
      </c>
      <c r="G22">
        <v>800</v>
      </c>
      <c r="H22">
        <v>160</v>
      </c>
      <c r="I22">
        <v>200</v>
      </c>
      <c r="J22">
        <v>650</v>
      </c>
      <c r="K22">
        <v>2</v>
      </c>
      <c r="L22" t="inlineStr">
        <is>
          <t>1+1</t>
        </is>
      </c>
      <c r="M22">
        <v>20</v>
      </c>
      <c r="N22">
        <v>30</v>
      </c>
      <c r="O22">
        <v>48</v>
      </c>
      <c r="P22" t="inlineStr">
        <is>
          <t>40-60</t>
        </is>
      </c>
      <c r="Q22" t="inlineStr">
        <is>
          <t>datasheet_local_pdf_verified</t>
        </is>
      </c>
      <c r="R22" t="inlineStr">
        <is>
          <t>Local PDF: SUN-_3-12_K-SG05LP3-EU-SM2_RU.pdf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>
        <v>16000</v>
      </c>
      <c r="G23">
        <v>800</v>
      </c>
      <c r="H23">
        <v>160</v>
      </c>
      <c r="I23">
        <v>200</v>
      </c>
      <c r="J23">
        <v>650</v>
      </c>
      <c r="K23">
        <v>2</v>
      </c>
      <c r="L23" t="inlineStr">
        <is>
          <t>2+2</t>
        </is>
      </c>
      <c r="M23">
        <v>26</v>
      </c>
      <c r="N23">
        <v>39</v>
      </c>
      <c r="O23">
        <v>48</v>
      </c>
      <c r="P23" t="inlineStr">
        <is>
          <t>40-60</t>
        </is>
      </c>
      <c r="Q23" t="inlineStr">
        <is>
          <t>datasheet_local_pdf_verified</t>
        </is>
      </c>
      <c r="R23" t="inlineStr">
        <is>
          <t>Local PDF: SUN-_3-12_K-SG05LP3-EU-SM2_RU.pdf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>
        <v>20000</v>
      </c>
      <c r="G24">
        <v>800</v>
      </c>
      <c r="H24">
        <v>160</v>
      </c>
      <c r="I24">
        <v>200</v>
      </c>
      <c r="J24">
        <v>650</v>
      </c>
      <c r="K24">
        <v>2</v>
      </c>
      <c r="L24" t="inlineStr">
        <is>
          <t>2+2</t>
        </is>
      </c>
      <c r="M24">
        <v>26</v>
      </c>
      <c r="N24">
        <v>39</v>
      </c>
      <c r="O24">
        <v>48</v>
      </c>
      <c r="P24" t="inlineStr">
        <is>
          <t>40-60</t>
        </is>
      </c>
      <c r="Q24" t="inlineStr">
        <is>
          <t>datasheet_local_pdf_verified</t>
        </is>
      </c>
      <c r="R24" t="inlineStr">
        <is>
          <t>Local PDF: SUN-_3-12_K-SG05LP3-EU-SM2_RU.pdf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>
        <v>24000</v>
      </c>
      <c r="G25">
        <v>800</v>
      </c>
      <c r="H25">
        <v>160</v>
      </c>
      <c r="I25">
        <v>200</v>
      </c>
      <c r="J25">
        <v>650</v>
      </c>
      <c r="K25">
        <v>2</v>
      </c>
      <c r="L25" t="inlineStr">
        <is>
          <t>2+2</t>
        </is>
      </c>
      <c r="M25">
        <v>26</v>
      </c>
      <c r="N25">
        <v>39</v>
      </c>
      <c r="O25">
        <v>48</v>
      </c>
      <c r="P25" t="inlineStr">
        <is>
          <t>40-60</t>
        </is>
      </c>
      <c r="Q25" t="inlineStr">
        <is>
          <t>datasheet_local_pdf_verified</t>
        </is>
      </c>
      <c r="R25" t="inlineStr">
        <is>
          <t>Local PDF: SUN-_3-12_K-SG05LP3-EU-SM2_RU.pdf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>
        <v>28000</v>
      </c>
      <c r="G26">
        <v>800</v>
      </c>
      <c r="H26">
        <v>160</v>
      </c>
      <c r="I26">
        <v>160</v>
      </c>
      <c r="J26">
        <v>650</v>
      </c>
      <c r="K26">
        <v>2</v>
      </c>
      <c r="L26" t="inlineStr">
        <is>
          <t>2+2</t>
        </is>
      </c>
      <c r="M26">
        <v>36</v>
      </c>
      <c r="N26">
        <v>54</v>
      </c>
      <c r="O26">
        <v>48</v>
      </c>
      <c r="P26" t="inlineStr">
        <is>
          <t>40-60</t>
        </is>
      </c>
      <c r="Q26" t="inlineStr">
        <is>
          <t>datasheet_local_pdf_verified</t>
        </is>
      </c>
      <c r="R26" t="inlineStr">
        <is>
          <t>Local PDF: SUN-_14-20_K-SG05LP3-EU-SM2_RU.pdf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>
        <v>30000</v>
      </c>
      <c r="G27">
        <v>800</v>
      </c>
      <c r="H27">
        <v>160</v>
      </c>
      <c r="I27">
        <v>160</v>
      </c>
      <c r="J27">
        <v>650</v>
      </c>
      <c r="K27">
        <v>2</v>
      </c>
      <c r="L27" t="inlineStr">
        <is>
          <t>2+2</t>
        </is>
      </c>
      <c r="M27">
        <v>36</v>
      </c>
      <c r="N27">
        <v>54</v>
      </c>
      <c r="O27">
        <v>48</v>
      </c>
      <c r="P27" t="inlineStr">
        <is>
          <t>40-60</t>
        </is>
      </c>
      <c r="Q27" t="inlineStr">
        <is>
          <t>datasheet_local_pdf_verified</t>
        </is>
      </c>
      <c r="R27" t="inlineStr">
        <is>
          <t>Local PDF: SUN-_14-20_K-SG05LP3-EU-SM2_RU.pdf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>
        <v>32000</v>
      </c>
      <c r="G28">
        <v>800</v>
      </c>
      <c r="H28">
        <v>160</v>
      </c>
      <c r="I28">
        <v>160</v>
      </c>
      <c r="J28">
        <v>650</v>
      </c>
      <c r="K28">
        <v>2</v>
      </c>
      <c r="L28" t="inlineStr">
        <is>
          <t>2+2</t>
        </is>
      </c>
      <c r="M28">
        <v>36</v>
      </c>
      <c r="N28">
        <v>54</v>
      </c>
      <c r="O28">
        <v>48</v>
      </c>
      <c r="P28" t="inlineStr">
        <is>
          <t>40-60</t>
        </is>
      </c>
      <c r="Q28" t="inlineStr">
        <is>
          <t>datasheet_local_pdf_verified</t>
        </is>
      </c>
      <c r="R28" t="inlineStr">
        <is>
          <t>Local PDF: SUN-_14-20_K-SG05LP3-EU-SM2_RU.pdf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>
        <v>36000</v>
      </c>
      <c r="G29">
        <v>800</v>
      </c>
      <c r="H29">
        <v>160</v>
      </c>
      <c r="I29">
        <v>160</v>
      </c>
      <c r="J29">
        <v>650</v>
      </c>
      <c r="K29">
        <v>2</v>
      </c>
      <c r="L29" t="inlineStr">
        <is>
          <t>2+2</t>
        </is>
      </c>
      <c r="M29">
        <v>36</v>
      </c>
      <c r="N29">
        <v>54</v>
      </c>
      <c r="O29">
        <v>48</v>
      </c>
      <c r="P29" t="inlineStr">
        <is>
          <t>40-60</t>
        </is>
      </c>
      <c r="Q29" t="inlineStr">
        <is>
          <t>datasheet_local_pdf_verified</t>
        </is>
      </c>
      <c r="R29" t="inlineStr">
        <is>
          <t>Local PDF: SUN-_14-20_K-SG05LP3-EU-SM2_RU.pdf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>
        <v>40000</v>
      </c>
      <c r="G30">
        <v>800</v>
      </c>
      <c r="H30">
        <v>160</v>
      </c>
      <c r="I30">
        <v>160</v>
      </c>
      <c r="J30">
        <v>650</v>
      </c>
      <c r="K30">
        <v>2</v>
      </c>
      <c r="L30" t="inlineStr">
        <is>
          <t>2+2</t>
        </is>
      </c>
      <c r="M30">
        <v>36</v>
      </c>
      <c r="N30">
        <v>54</v>
      </c>
      <c r="O30">
        <v>48</v>
      </c>
      <c r="P30" t="inlineStr">
        <is>
          <t>40-60</t>
        </is>
      </c>
      <c r="Q30" t="inlineStr">
        <is>
          <t>datasheet_local_pdf_verified</t>
        </is>
      </c>
      <c r="R30" t="inlineStr">
        <is>
          <t>Local PDF: SUN-_14-20_K-SG05LP3-EU-SM2_RU.pdf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>
        <v>20000</v>
      </c>
      <c r="G31">
        <v>1000</v>
      </c>
      <c r="H31">
        <v>180</v>
      </c>
      <c r="I31">
        <v>150</v>
      </c>
      <c r="J31">
        <v>850</v>
      </c>
      <c r="K31">
        <v>2</v>
      </c>
      <c r="L31" t="inlineStr">
        <is>
          <t>1+1</t>
        </is>
      </c>
      <c r="M31">
        <v>20</v>
      </c>
      <c r="N31">
        <v>30</v>
      </c>
      <c r="O31" t="inlineStr">
        <is>
          <t/>
        </is>
      </c>
      <c r="P31" t="inlineStr">
        <is>
          <t>160-700</t>
        </is>
      </c>
      <c r="Q31" t="inlineStr">
        <is>
          <t>datasheet_local_pdf_verified</t>
        </is>
      </c>
      <c r="R31" t="inlineStr">
        <is>
          <t>Local PDF: SUN-_5-25_K-SG01HP3-EU-AM2_RU.pdf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>
        <v>24000</v>
      </c>
      <c r="G32">
        <v>1000</v>
      </c>
      <c r="H32">
        <v>180</v>
      </c>
      <c r="I32">
        <v>150</v>
      </c>
      <c r="J32">
        <v>850</v>
      </c>
      <c r="K32">
        <v>2</v>
      </c>
      <c r="L32" t="inlineStr">
        <is>
          <t>1+1</t>
        </is>
      </c>
      <c r="M32">
        <v>20</v>
      </c>
      <c r="N32">
        <v>30</v>
      </c>
      <c r="O32" t="inlineStr">
        <is>
          <t/>
        </is>
      </c>
      <c r="P32" t="inlineStr">
        <is>
          <t>160-700</t>
        </is>
      </c>
      <c r="Q32" t="inlineStr">
        <is>
          <t>datasheet_local_pdf_verified</t>
        </is>
      </c>
      <c r="R32" t="inlineStr">
        <is>
          <t>Local PDF: SUN-_5-25_K-SG01HP3-EU-AM2_RU.pdf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>
        <v>30000</v>
      </c>
      <c r="G33">
        <v>1000</v>
      </c>
      <c r="H33">
        <v>180</v>
      </c>
      <c r="I33">
        <v>150</v>
      </c>
      <c r="J33">
        <v>850</v>
      </c>
      <c r="K33">
        <v>2</v>
      </c>
      <c r="L33" t="inlineStr">
        <is>
          <t>2+2</t>
        </is>
      </c>
      <c r="M33">
        <v>26</v>
      </c>
      <c r="N33">
        <v>39</v>
      </c>
      <c r="O33" t="inlineStr">
        <is>
          <t/>
        </is>
      </c>
      <c r="P33" t="inlineStr">
        <is>
          <t>160-700</t>
        </is>
      </c>
      <c r="Q33" t="inlineStr">
        <is>
          <t>datasheet_local_pdf_verified</t>
        </is>
      </c>
      <c r="R33" t="inlineStr">
        <is>
          <t>Local PDF: SUN-_5-25_K-SG01HP3-EU-AM2_RU.pdf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>
        <v>40000</v>
      </c>
      <c r="G34">
        <v>1000</v>
      </c>
      <c r="H34">
        <v>180</v>
      </c>
      <c r="I34">
        <v>150</v>
      </c>
      <c r="J34">
        <v>850</v>
      </c>
      <c r="K34">
        <v>2</v>
      </c>
      <c r="L34" t="inlineStr">
        <is>
          <t>2+2</t>
        </is>
      </c>
      <c r="M34">
        <v>26</v>
      </c>
      <c r="N34">
        <v>39</v>
      </c>
      <c r="O34" t="inlineStr">
        <is>
          <t/>
        </is>
      </c>
      <c r="P34" t="inlineStr">
        <is>
          <t>160-700</t>
        </is>
      </c>
      <c r="Q34" t="inlineStr">
        <is>
          <t>datasheet_local_pdf_verified</t>
        </is>
      </c>
      <c r="R34" t="inlineStr">
        <is>
          <t>Local PDF: SUN-_5-25_K-SG01HP3-EU-AM2_RU.pdf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>
        <v>50000</v>
      </c>
      <c r="G35">
        <v>1000</v>
      </c>
      <c r="H35">
        <v>180</v>
      </c>
      <c r="I35">
        <v>150</v>
      </c>
      <c r="J35">
        <v>850</v>
      </c>
      <c r="K35">
        <v>2</v>
      </c>
      <c r="L35" t="inlineStr">
        <is>
          <t>2+1</t>
        </is>
      </c>
      <c r="M35">
        <v>26</v>
      </c>
      <c r="N35">
        <v>39</v>
      </c>
      <c r="O35" t="inlineStr">
        <is>
          <t/>
        </is>
      </c>
      <c r="P35" t="inlineStr">
        <is>
          <t>160-700</t>
        </is>
      </c>
      <c r="Q35" t="inlineStr">
        <is>
          <t>datasheet_local_pdf_verified</t>
        </is>
      </c>
      <c r="R35" t="inlineStr">
        <is>
          <t>Local PDF: SUN-_5-25_K-SG01HP3-EU-AM2_RU.pdf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>
        <v>60000</v>
      </c>
      <c r="G36">
        <v>1000</v>
      </c>
      <c r="H36">
        <v>180</v>
      </c>
      <c r="I36">
        <v>150</v>
      </c>
      <c r="J36">
        <v>850</v>
      </c>
      <c r="K36">
        <v>3</v>
      </c>
      <c r="L36" t="inlineStr">
        <is>
          <t>2+2+2</t>
        </is>
      </c>
      <c r="M36">
        <v>36</v>
      </c>
      <c r="N36">
        <v>54</v>
      </c>
      <c r="O36" t="inlineStr">
        <is>
          <t/>
        </is>
      </c>
      <c r="P36" t="inlineStr">
        <is>
          <t>160-700</t>
        </is>
      </c>
      <c r="Q36" t="inlineStr">
        <is>
          <t>datasheet_local_pdf_verified</t>
        </is>
      </c>
      <c r="R36" t="inlineStr">
        <is>
          <t>Local PDF: SUN-_25-30_K-SG02HP3-EU-AM3_RU.pdf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>
        <v>80000</v>
      </c>
      <c r="G37">
        <v>1000</v>
      </c>
      <c r="H37">
        <v>180</v>
      </c>
      <c r="I37">
        <v>150</v>
      </c>
      <c r="J37">
        <v>850</v>
      </c>
      <c r="K37">
        <v>3</v>
      </c>
      <c r="L37" t="inlineStr">
        <is>
          <t>2+2+2</t>
        </is>
      </c>
      <c r="M37">
        <v>36</v>
      </c>
      <c r="N37">
        <v>55</v>
      </c>
      <c r="O37" t="inlineStr">
        <is>
          <t/>
        </is>
      </c>
      <c r="P37" t="inlineStr">
        <is>
          <t>160-800</t>
        </is>
      </c>
      <c r="Q37" t="inlineStr">
        <is>
          <t>datasheet_local_pdf_verified</t>
        </is>
      </c>
      <c r="R37" t="inlineStr">
        <is>
          <t>Local PDF: SUN-_29.9-50_K-SG01HP3-EU-BM4_RU.pdf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>
        <v>100000</v>
      </c>
      <c r="G38">
        <v>1000</v>
      </c>
      <c r="H38">
        <v>180</v>
      </c>
      <c r="I38">
        <v>150</v>
      </c>
      <c r="J38">
        <v>850</v>
      </c>
      <c r="K38">
        <v>4</v>
      </c>
      <c r="L38" t="inlineStr">
        <is>
          <t>2+2+2+2</t>
        </is>
      </c>
      <c r="M38">
        <v>36</v>
      </c>
      <c r="N38">
        <v>55</v>
      </c>
      <c r="O38" t="inlineStr">
        <is>
          <t/>
        </is>
      </c>
      <c r="P38" t="inlineStr">
        <is>
          <t>160-800</t>
        </is>
      </c>
      <c r="Q38" t="inlineStr">
        <is>
          <t>datasheet_local_pdf_verified</t>
        </is>
      </c>
      <c r="R38" t="inlineStr">
        <is>
          <t>Local PDF: SUN-_29.9-50_K-SG01HP3-EU-BM4_RU.pdf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>
        <v>120000</v>
      </c>
      <c r="G39">
        <v>1000</v>
      </c>
      <c r="H39">
        <v>180</v>
      </c>
      <c r="I39">
        <v>150</v>
      </c>
      <c r="J39">
        <v>850</v>
      </c>
      <c r="K39">
        <v>6</v>
      </c>
      <c r="L39" t="inlineStr">
        <is>
          <t>2+2+2+2+2+2</t>
        </is>
      </c>
      <c r="M39">
        <v>36</v>
      </c>
      <c r="N39">
        <v>54</v>
      </c>
      <c r="O39" t="inlineStr">
        <is>
          <t/>
        </is>
      </c>
      <c r="P39" t="inlineStr">
        <is>
          <t>160-1000</t>
        </is>
      </c>
      <c r="Q39" t="inlineStr">
        <is>
          <t>datasheet_local_pdf_verified</t>
        </is>
      </c>
      <c r="R39" t="inlineStr">
        <is>
          <t>Local PDF: SUN-_60-80_K-SG02HP3-EU-EM6_RU.pdf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>
        <v>140000</v>
      </c>
      <c r="G40">
        <v>1000</v>
      </c>
      <c r="H40">
        <v>180</v>
      </c>
      <c r="I40">
        <v>150</v>
      </c>
      <c r="J40">
        <v>850</v>
      </c>
      <c r="K40">
        <v>6</v>
      </c>
      <c r="L40" t="inlineStr">
        <is>
          <t>2+2+2+2+2+2</t>
        </is>
      </c>
      <c r="M40">
        <v>36</v>
      </c>
      <c r="N40">
        <v>54</v>
      </c>
      <c r="O40" t="inlineStr">
        <is>
          <t/>
        </is>
      </c>
      <c r="P40" t="inlineStr">
        <is>
          <t>160-1000</t>
        </is>
      </c>
      <c r="Q40" t="inlineStr">
        <is>
          <t>datasheet_local_pdf_verified</t>
        </is>
      </c>
      <c r="R40" t="inlineStr">
        <is>
          <t>Local PDF: SUN-_60-80_K-SG02HP3-EU-EM6_RU.pdf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>
        <v>150000</v>
      </c>
      <c r="G41">
        <v>1000</v>
      </c>
      <c r="H41">
        <v>180</v>
      </c>
      <c r="I41">
        <v>150</v>
      </c>
      <c r="J41">
        <v>850</v>
      </c>
      <c r="K41">
        <v>6</v>
      </c>
      <c r="L41" t="inlineStr">
        <is>
          <t>2+2+2+2+2+2</t>
        </is>
      </c>
      <c r="M41">
        <v>36</v>
      </c>
      <c r="N41">
        <v>54</v>
      </c>
      <c r="O41" t="inlineStr">
        <is>
          <t/>
        </is>
      </c>
      <c r="P41" t="inlineStr">
        <is>
          <t>160-1000</t>
        </is>
      </c>
      <c r="Q41" t="inlineStr">
        <is>
          <t>datasheet_local_pdf_verified</t>
        </is>
      </c>
      <c r="R41" t="inlineStr">
        <is>
          <t>Local PDF: SUN-_60-80_K-SG02HP3-EU-EM6_RU.pdf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>
        <v>160000</v>
      </c>
      <c r="G42">
        <v>1000</v>
      </c>
      <c r="H42">
        <v>180</v>
      </c>
      <c r="I42">
        <v>150</v>
      </c>
      <c r="J42">
        <v>850</v>
      </c>
      <c r="K42">
        <v>6</v>
      </c>
      <c r="L42" t="inlineStr">
        <is>
          <t>2+2+2+2+2+2</t>
        </is>
      </c>
      <c r="M42">
        <v>36</v>
      </c>
      <c r="N42">
        <v>54</v>
      </c>
      <c r="O42" t="inlineStr">
        <is>
          <t/>
        </is>
      </c>
      <c r="P42" t="inlineStr">
        <is>
          <t>160-1000</t>
        </is>
      </c>
      <c r="Q42" t="inlineStr">
        <is>
          <t>datasheet_local_pdf_verified</t>
        </is>
      </c>
      <c r="R42" t="inlineStr">
        <is>
          <t>Local PDF: SUN-_60-80_K-SG02HP3-EU-EM6_RU.pdf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>
        <v>200000</v>
      </c>
      <c r="G43">
        <v>1000</v>
      </c>
      <c r="H43">
        <v>180</v>
      </c>
      <c r="I43">
        <v>150</v>
      </c>
      <c r="J43">
        <v>850</v>
      </c>
      <c r="K43">
        <v>10</v>
      </c>
      <c r="L43" t="inlineStr">
        <is>
          <t>2+2+2+2+2+2+2+2+2+2</t>
        </is>
      </c>
      <c r="M43">
        <v>42</v>
      </c>
      <c r="N43">
        <v>63</v>
      </c>
      <c r="O43" t="inlineStr">
        <is>
          <t/>
        </is>
      </c>
      <c r="P43" t="inlineStr">
        <is>
          <t>160-1000</t>
        </is>
      </c>
      <c r="Q43" t="inlineStr">
        <is>
          <t>datasheet_local_pdf_verified</t>
        </is>
      </c>
      <c r="R43" t="inlineStr">
        <is>
          <t>Local PDF: SUN-_100-125_K-SG02HP3-EU-GM10_RU.pdf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>
        <v>250000</v>
      </c>
      <c r="G44">
        <v>1000</v>
      </c>
      <c r="H44">
        <v>180</v>
      </c>
      <c r="I44">
        <v>150</v>
      </c>
      <c r="J44">
        <v>850</v>
      </c>
      <c r="K44">
        <v>10</v>
      </c>
      <c r="L44" t="inlineStr">
        <is>
          <t>2+2+2+2+2+2+2+2+2+2</t>
        </is>
      </c>
      <c r="M44">
        <v>42</v>
      </c>
      <c r="N44">
        <v>63</v>
      </c>
      <c r="O44" t="inlineStr">
        <is>
          <t/>
        </is>
      </c>
      <c r="P44" t="inlineStr">
        <is>
          <t>160-1000</t>
        </is>
      </c>
      <c r="Q44" t="inlineStr">
        <is>
          <t>datasheet_local_pdf_verified</t>
        </is>
      </c>
      <c r="R44" t="inlineStr">
        <is>
          <t>Local PDF: SUN-_100-125_K-SG02HP3-EU-GM10_RU.pdf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>
        <v>23400</v>
      </c>
      <c r="G68">
        <v>1100</v>
      </c>
      <c r="H68">
        <v>250</v>
      </c>
      <c r="I68">
        <v>200</v>
      </c>
      <c r="J68">
        <v>1000</v>
      </c>
      <c r="K68">
        <v>2</v>
      </c>
      <c r="L68" t="inlineStr">
        <is>
          <t>2+2</t>
        </is>
      </c>
      <c r="M68">
        <v>26</v>
      </c>
      <c r="N68">
        <v>39</v>
      </c>
      <c r="O68" t="inlineStr">
        <is>
          <t/>
        </is>
      </c>
      <c r="P68" t="inlineStr">
        <is>
          <t/>
        </is>
      </c>
      <c r="Q68" t="inlineStr">
        <is>
          <t>datasheet_local_pdf_verified</t>
        </is>
      </c>
      <c r="R68" t="inlineStr">
        <is>
          <t>Local PDF: SUN-_18-25_K-G05P3-EU-CM2_RU.pdf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>
        <v>26000</v>
      </c>
      <c r="G69">
        <v>1100</v>
      </c>
      <c r="H69">
        <v>250</v>
      </c>
      <c r="I69">
        <v>200</v>
      </c>
      <c r="J69">
        <v>1000</v>
      </c>
      <c r="K69">
        <v>2</v>
      </c>
      <c r="L69" t="inlineStr">
        <is>
          <t>2+2</t>
        </is>
      </c>
      <c r="M69">
        <v>26</v>
      </c>
      <c r="N69">
        <v>39</v>
      </c>
      <c r="O69" t="inlineStr">
        <is>
          <t/>
        </is>
      </c>
      <c r="P69" t="inlineStr">
        <is>
          <t/>
        </is>
      </c>
      <c r="Q69" t="inlineStr">
        <is>
          <t>datasheet_local_pdf_verified</t>
        </is>
      </c>
      <c r="R69" t="inlineStr">
        <is>
          <t>Local PDF: SUN-_18-25_K-G05P3-EU-CM2_RU.pdf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>
        <v>32500</v>
      </c>
      <c r="G70">
        <v>1100</v>
      </c>
      <c r="H70">
        <v>250</v>
      </c>
      <c r="I70">
        <v>200</v>
      </c>
      <c r="J70">
        <v>1000</v>
      </c>
      <c r="K70">
        <v>2</v>
      </c>
      <c r="L70" t="inlineStr">
        <is>
          <t>2+2</t>
        </is>
      </c>
      <c r="M70">
        <v>26</v>
      </c>
      <c r="N70">
        <v>39</v>
      </c>
      <c r="O70" t="inlineStr">
        <is>
          <t/>
        </is>
      </c>
      <c r="P70" t="inlineStr">
        <is>
          <t/>
        </is>
      </c>
      <c r="Q70" t="inlineStr">
        <is>
          <t>datasheet_local_pdf_verified</t>
        </is>
      </c>
      <c r="R70" t="inlineStr">
        <is>
          <t>Local PDF: SUN-_18-25_K-G05P3-EU-CM2_RU.pdf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>
        <v>39000</v>
      </c>
      <c r="G71">
        <v>1100</v>
      </c>
      <c r="H71">
        <v>250</v>
      </c>
      <c r="I71">
        <v>200</v>
      </c>
      <c r="J71">
        <v>1000</v>
      </c>
      <c r="K71">
        <v>2</v>
      </c>
      <c r="L71" t="inlineStr">
        <is>
          <t>3+3</t>
        </is>
      </c>
      <c r="M71">
        <v>40</v>
      </c>
      <c r="N71">
        <v>60</v>
      </c>
      <c r="O71" t="inlineStr">
        <is>
          <t/>
        </is>
      </c>
      <c r="P71" t="inlineStr">
        <is>
          <t/>
        </is>
      </c>
      <c r="Q71" t="inlineStr">
        <is>
          <t>datasheet_local_pdf_verified</t>
        </is>
      </c>
      <c r="R71" t="inlineStr">
        <is>
          <t>Local PDF: SUN-_30-36_K-G04P3-EU-CM2_RU.pdf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>
        <v>42900</v>
      </c>
      <c r="G72">
        <v>1100</v>
      </c>
      <c r="H72">
        <v>250</v>
      </c>
      <c r="I72">
        <v>200</v>
      </c>
      <c r="J72">
        <v>1000</v>
      </c>
      <c r="K72">
        <v>2</v>
      </c>
      <c r="L72" t="inlineStr">
        <is>
          <t>3+3</t>
        </is>
      </c>
      <c r="M72">
        <v>40</v>
      </c>
      <c r="N72">
        <v>60</v>
      </c>
      <c r="O72" t="inlineStr">
        <is>
          <t/>
        </is>
      </c>
      <c r="P72" t="inlineStr">
        <is>
          <t/>
        </is>
      </c>
      <c r="Q72" t="inlineStr">
        <is>
          <t>datasheet_local_pdf_verified</t>
        </is>
      </c>
      <c r="R72" t="inlineStr">
        <is>
          <t>Local PDF: SUN-_30-36_K-G04P3-EU-CM2_RU.pdf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>
        <v>45500</v>
      </c>
      <c r="G73">
        <v>1100</v>
      </c>
      <c r="H73">
        <v>250</v>
      </c>
      <c r="I73">
        <v>200</v>
      </c>
      <c r="J73">
        <v>1000</v>
      </c>
      <c r="K73">
        <v>2</v>
      </c>
      <c r="L73" t="inlineStr">
        <is>
          <t>3+3</t>
        </is>
      </c>
      <c r="M73">
        <v>40</v>
      </c>
      <c r="N73">
        <v>60</v>
      </c>
      <c r="O73" t="inlineStr">
        <is>
          <t/>
        </is>
      </c>
      <c r="P73" t="inlineStr">
        <is>
          <t/>
        </is>
      </c>
      <c r="Q73" t="inlineStr">
        <is>
          <t>datasheet_local_pdf_verified</t>
        </is>
      </c>
      <c r="R73" t="inlineStr">
        <is>
          <t>Local PDF: SUN-_30-36_K-G04P3-EU-CM2_RU.pdf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>
        <v>60000</v>
      </c>
      <c r="G74">
        <v>1100</v>
      </c>
      <c r="H74">
        <v>250</v>
      </c>
      <c r="I74">
        <v>200</v>
      </c>
      <c r="J74">
        <v>1000</v>
      </c>
      <c r="K74">
        <v>3</v>
      </c>
      <c r="L74" t="inlineStr">
        <is>
          <t>3+3+3</t>
        </is>
      </c>
      <c r="M74">
        <v>40</v>
      </c>
      <c r="N74">
        <v>60</v>
      </c>
      <c r="O74" t="inlineStr">
        <is>
          <t/>
        </is>
      </c>
      <c r="P74" t="inlineStr">
        <is>
          <t/>
        </is>
      </c>
      <c r="Q74" t="inlineStr">
        <is>
          <t>datasheet_local_pdf_verified</t>
        </is>
      </c>
      <c r="R74" t="inlineStr">
        <is>
          <t>Local PDF: SUN-_40-50_K-G04P3-EU-CM4_RU.pdf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>
        <v>67500</v>
      </c>
      <c r="G75">
        <v>1100</v>
      </c>
      <c r="H75">
        <v>250</v>
      </c>
      <c r="I75">
        <v>200</v>
      </c>
      <c r="J75">
        <v>1000</v>
      </c>
      <c r="K75">
        <v>3</v>
      </c>
      <c r="L75" t="inlineStr">
        <is>
          <t>3+3+3</t>
        </is>
      </c>
      <c r="M75">
        <v>40</v>
      </c>
      <c r="N75">
        <v>60</v>
      </c>
      <c r="O75" t="inlineStr">
        <is>
          <t/>
        </is>
      </c>
      <c r="P75" t="inlineStr">
        <is>
          <t/>
        </is>
      </c>
      <c r="Q75" t="inlineStr">
        <is>
          <t>datasheet_local_pdf_verified</t>
        </is>
      </c>
      <c r="R75" t="inlineStr">
        <is>
          <t>Local PDF: SUN-_40-50_K-G04P3-EU-CM4_RU.pdf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>
        <v>75000</v>
      </c>
      <c r="G76">
        <v>1100</v>
      </c>
      <c r="H76">
        <v>250</v>
      </c>
      <c r="I76">
        <v>200</v>
      </c>
      <c r="J76">
        <v>1000</v>
      </c>
      <c r="K76">
        <v>4</v>
      </c>
      <c r="L76" t="inlineStr">
        <is>
          <t>3+3+3+3</t>
        </is>
      </c>
      <c r="M76">
        <v>40</v>
      </c>
      <c r="N76">
        <v>60</v>
      </c>
      <c r="O76" t="inlineStr">
        <is>
          <t/>
        </is>
      </c>
      <c r="P76" t="inlineStr">
        <is>
          <t/>
        </is>
      </c>
      <c r="Q76" t="inlineStr">
        <is>
          <t>datasheet_local_pdf_verified</t>
        </is>
      </c>
      <c r="R76" t="inlineStr">
        <is>
          <t>Local PDF: SUN-_40-50_K-G04P3-EU-CM4_RU.pdf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>
        <v>90000</v>
      </c>
      <c r="G77">
        <v>1100</v>
      </c>
      <c r="H77">
        <v>250</v>
      </c>
      <c r="I77">
        <v>200</v>
      </c>
      <c r="J77">
        <v>1000</v>
      </c>
      <c r="K77">
        <v>4</v>
      </c>
      <c r="L77" t="inlineStr">
        <is>
          <t>4+4+4+4</t>
        </is>
      </c>
      <c r="M77">
        <v>40</v>
      </c>
      <c r="N77">
        <v>60</v>
      </c>
      <c r="O77" t="inlineStr">
        <is>
          <t/>
        </is>
      </c>
      <c r="P77" t="inlineStr">
        <is>
          <t/>
        </is>
      </c>
      <c r="Q77" t="inlineStr">
        <is>
          <t>datasheet_local_pdf_verified</t>
        </is>
      </c>
      <c r="R77" t="inlineStr">
        <is>
          <t>Local PDF: SUN-_60-80_K-G04P3-EU-AM4_RU.pdf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>
        <v>105000</v>
      </c>
      <c r="G78">
        <v>1100</v>
      </c>
      <c r="H78">
        <v>250</v>
      </c>
      <c r="I78">
        <v>200</v>
      </c>
      <c r="J78">
        <v>1000</v>
      </c>
      <c r="K78">
        <v>4</v>
      </c>
      <c r="L78" t="inlineStr">
        <is>
          <t>4+4+4+4</t>
        </is>
      </c>
      <c r="M78">
        <v>40</v>
      </c>
      <c r="N78">
        <v>60</v>
      </c>
      <c r="O78" t="inlineStr">
        <is>
          <t/>
        </is>
      </c>
      <c r="P78" t="inlineStr">
        <is>
          <t/>
        </is>
      </c>
      <c r="Q78" t="inlineStr">
        <is>
          <t>datasheet_local_pdf_verified</t>
        </is>
      </c>
      <c r="R78" t="inlineStr">
        <is>
          <t>Local PDF: SUN-_60-80_K-G04P3-EU-AM4_RU.pdf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>
        <v>112500</v>
      </c>
      <c r="G79">
        <v>1100</v>
      </c>
      <c r="H79">
        <v>250</v>
      </c>
      <c r="I79">
        <v>200</v>
      </c>
      <c r="J79">
        <v>1000</v>
      </c>
      <c r="K79">
        <v>4</v>
      </c>
      <c r="L79" t="inlineStr">
        <is>
          <t>4+4+4+4</t>
        </is>
      </c>
      <c r="M79">
        <v>40</v>
      </c>
      <c r="N79">
        <v>60</v>
      </c>
      <c r="O79" t="inlineStr">
        <is>
          <t/>
        </is>
      </c>
      <c r="P79" t="inlineStr">
        <is>
          <t/>
        </is>
      </c>
      <c r="Q79" t="inlineStr">
        <is>
          <t>datasheet_local_pdf_verified</t>
        </is>
      </c>
      <c r="R79" t="inlineStr">
        <is>
          <t>Local PDF: SUN-_60-80_K-G04P3-EU-AM4_RU.pdf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>
        <v>120000</v>
      </c>
      <c r="G80">
        <v>1100</v>
      </c>
      <c r="H80">
        <v>250</v>
      </c>
      <c r="I80">
        <v>200</v>
      </c>
      <c r="J80">
        <v>1000</v>
      </c>
      <c r="K80">
        <v>4</v>
      </c>
      <c r="L80" t="inlineStr">
        <is>
          <t>4+4+4+4</t>
        </is>
      </c>
      <c r="M80">
        <v>40</v>
      </c>
      <c r="N80">
        <v>60</v>
      </c>
      <c r="O80" t="inlineStr">
        <is>
          <t/>
        </is>
      </c>
      <c r="P80" t="inlineStr">
        <is>
          <t/>
        </is>
      </c>
      <c r="Q80" t="inlineStr">
        <is>
          <t>datasheet_local_pdf_verified</t>
        </is>
      </c>
      <c r="R80" t="inlineStr">
        <is>
          <t>Local PDF: SUN-_60-80_K-G04P3-EU-AM4_RU.pdf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 / ground posts</t>
        </is>
      </c>
      <c r="B11" s="3">
        <f>ROUNDUP((SUMIFS(MountingRules!D:D,MountingRules!A:A,B2,MountingRules!B:B,"Roof hook")+SUMIFS(MountingRules!D:D,MountingRules!A:A,B2,MountingRules!B:B,"Mini rail clamp")+SUMIFS(MountingRules!E:E,MountingRules!A:A,B2,MountingRules!B:B,"Ground post"))*B3*(1+B9/100),0)</f>
      </c>
      <c r="C11" t="inlineStr">
        <is>
          <t>pcs</t>
        </is>
      </c>
      <c r="D11" t="inlineStr">
        <is>
          <t>Hooks, seam clamps, or ground posts depending on installation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 / ground posts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Sizing</t>
        </is>
      </c>
      <c r="B32" t="inlineStr">
        <is>
          <t>Cable derating factor</t>
        </is>
      </c>
      <c r="C32" s="3">
        <f>CableProtection!B30</f>
      </c>
      <c r="D32" t="inlineStr">
        <is>
          <t>factor</t>
        </is>
      </c>
      <c r="E32" t="inlineStr">
        <is>
          <t>Grouping x ambient derating</t>
        </is>
      </c>
    </row>
    <row r="33">
      <c r="A33" t="inlineStr">
        <is>
          <t>Protection</t>
        </is>
      </c>
      <c r="B33" t="inlineStr">
        <is>
          <t>Recommended SPD type</t>
        </is>
      </c>
      <c r="C33" s="3">
        <f>CableProtection!B28</f>
      </c>
      <c r="D33" t="inlineStr">
        <is>
          <t/>
        </is>
      </c>
      <c r="E33" t="inlineStr">
        <is>
          <t>Starter selection; verify local standards</t>
        </is>
      </c>
    </row>
    <row r="34">
      <c r="A34" t="inlineStr">
        <is>
          <t>Protection</t>
        </is>
      </c>
      <c r="B34" t="inlineStr">
        <is>
          <t>AC earthing system</t>
        </is>
      </c>
      <c r="C34" s="3">
        <f>CableProtection!B29</f>
      </c>
      <c r="D34" t="inlineStr">
        <is>
          <t/>
        </is>
      </c>
      <c r="E34" t="inlineStr">
        <is>
          <t>Selected earthing checklist</t>
        </is>
      </c>
    </row>
    <row r="35">
      <c r="A35" t="inlineStr">
        <is>
          <t>Documentation</t>
        </is>
      </c>
      <c r="B35" t="inlineStr">
        <is>
          <t>Datasheet verification</t>
        </is>
      </c>
      <c r="C35">
        <v>1</v>
      </c>
      <c r="D35" t="inlineStr">
        <is>
          <t>task</t>
        </is>
      </c>
      <c r="E35" t="inlineStr">
        <is>
          <t>Required before commercial use</t>
        </is>
      </c>
    </row>
  </sheetData>
  <autoFilter ref="A1:E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Quantity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DC cable route length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DC cable route length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AC cable route length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MAX(4,LOOKUP((Results!B12*Inputs!B8)/B30,CableSizing!B:B,CableSizing!A:A))</f>
      </c>
      <c r="C15" t="inlineStr">
        <is>
          <t>Unit</t>
        </is>
      </c>
      <c r="D15" t="inlineStr">
        <is>
          <t>Formula / meaning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MAX(2.5,LOOKUP(B18/B30,CableSizing!B:B,CableSizing!A:A))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MAX(16,LOOKUP(B23/B30,CableSizing!B:B,CableSizing!A:A))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  <row r="27"/>
    <row r="28">
      <c r="A28" t="inlineStr">
        <is>
          <t>Advanced protection result</t>
        </is>
      </c>
      <c r="B28" s="3">
        <f>IF(Inputs!B23="External LPS","Type 1+2 DC/AC SPD",IF(Inputs!B23="Overhead supply","Type 1+2 AC SPD + Type 2 DC SPD",IF(Inputs!B23="Long outdoor DC route","Type 2 DC SPD near inverter and array","Type 2 DC/AC SPD")))</f>
      </c>
      <c r="C28" t="inlineStr">
        <is>
          <t>Unit</t>
        </is>
      </c>
      <c r="D28" t="inlineStr">
        <is>
          <t>Formula / meaning</t>
        </is>
      </c>
    </row>
    <row r="29">
      <c r="A29" t="inlineStr">
        <is>
          <t>Recommended SPD type</t>
        </is>
      </c>
      <c r="B29" s="3">
        <f>Inputs!B24</f>
      </c>
      <c r="C29" t="inlineStr">
        <is>
          <t/>
        </is>
      </c>
      <c r="D29" t="inlineStr">
        <is>
          <t>Based on selected lightning protection condition</t>
        </is>
      </c>
    </row>
    <row r="30">
      <c r="A30" t="inlineStr">
        <is>
          <t>AC earthing system</t>
        </is>
      </c>
      <c r="B30" s="3">
        <f>MAX(0.1,Inputs!B21*Inputs!B22)</f>
      </c>
      <c r="C30" t="inlineStr">
        <is>
          <t/>
        </is>
      </c>
      <c r="D30" t="inlineStr">
        <is>
          <t>Selected earthing system checklist</t>
        </is>
      </c>
    </row>
    <row r="31">
      <c r="A31" t="inlineStr">
        <is>
          <t>Combined cable derating factor</t>
        </is>
      </c>
      <c r="B31" s="3">
        <f>INDEX(CableSizing!B:B,MATCH(B15,CableSizing!A:A,0))*B30</f>
      </c>
      <c r="C31" t="inlineStr">
        <is>
          <t>factor</t>
        </is>
      </c>
      <c r="D31" t="inlineStr">
        <is>
          <t>Grouping derating x ambient derating</t>
        </is>
      </c>
    </row>
    <row r="32">
      <c r="A32" t="inlineStr">
        <is>
          <t>Derated DC cable ampacity</t>
        </is>
      </c>
      <c r="B32" s="3">
        <f>"VERIFY"</f>
      </c>
      <c r="C32" t="inlineStr">
        <is>
          <t>A</t>
        </is>
      </c>
      <c r="D32" t="inlineStr">
        <is>
          <t>Selected DC cable ampacity after derating</t>
        </is>
      </c>
    </row>
    <row r="33">
      <c r="A33" t="inlineStr">
        <is>
          <t>Advanced protection status</t>
        </is>
      </c>
      <c r="B33" t="inlineStr">
        <is>
          <t/>
        </is>
      </c>
      <c r="C33" t="inlineStr">
        <is>
          <t/>
        </is>
      </c>
      <c r="D33" t="inlineStr">
        <is>
          <t>VERIFY until local standards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8" customWidth="1"/>
    <col min="3" max="3" width="24" customWidth="1"/>
    <col min="4" max="4" width="22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14" customWidth="1"/>
    <col min="13" max="13" width="68" customWidth="1"/>
  </cols>
  <sheetData>
    <row r="1">
      <c r="A1" t="inlineStr" s="1">
        <is>
          <t>Scenario</t>
        </is>
      </c>
      <c r="B1" t="inlineStr" s="1">
        <is>
          <t>Inverter</t>
        </is>
      </c>
      <c r="C1" t="inlineStr" s="1">
        <is>
          <t>Panel</t>
        </is>
      </c>
      <c r="D1" t="inlineStr" s="1">
        <is>
          <t>Battery</t>
        </is>
      </c>
      <c r="E1" t="inlineStr" s="1">
        <is>
          <t>Panels/string</t>
        </is>
      </c>
      <c r="F1" t="inlineStr" s="1">
        <is>
          <t>Strings/MPPT</t>
        </is>
      </c>
      <c r="G1" t="inlineStr" s="1">
        <is>
          <t>Cold string Voc</t>
        </is>
      </c>
      <c r="H1" t="inlineStr" s="1">
        <is>
          <t>Hot string Vmp</t>
        </is>
      </c>
      <c r="I1" t="inlineStr" s="1">
        <is>
          <t>PV voltage</t>
        </is>
      </c>
      <c r="J1" t="inlineStr" s="1">
        <is>
          <t>PV current</t>
        </is>
      </c>
      <c r="K1" t="inlineStr" s="1">
        <is>
          <t>Battery</t>
        </is>
      </c>
      <c r="L1" t="inlineStr" s="1">
        <is>
          <t>Overall</t>
        </is>
      </c>
      <c r="M1" t="inlineStr" s="1">
        <is>
          <t>Notes</t>
        </is>
      </c>
    </row>
    <row r="2">
      <c r="A2" t="inlineStr">
        <is>
          <t>Residential 5kW Deye</t>
        </is>
      </c>
      <c r="B2" t="inlineStr">
        <is>
          <t>SUN-5K-SG03LP1-EU</t>
        </is>
      </c>
      <c r="C2" t="inlineStr">
        <is>
          <t>JKM575N-72HL4-V</t>
        </is>
      </c>
      <c r="D2" t="inlineStr">
        <is>
          <t>US5000</t>
        </is>
      </c>
      <c r="E2">
        <v>8</v>
      </c>
      <c r="F2">
        <v>1</v>
      </c>
      <c r="G2" s="3">
        <f>ROUND(INDEX(Panels!G:G,MATCH(C2,Panels!C:C,0))*(1+(INDEX(Panels!J:J,MATCH(C2,Panels!C:C,0))/100)*(Inputs!B5-25))*E2,1)</f>
      </c>
      <c r="H2" s="3">
        <f>ROUND(INDEX(Panels!E:E,MATCH(C2,Panels!C:C,0))*(1+(INDEX(Panels!J:J,MATCH(C2,Panels!C:C,0))/100)*(Inputs!B6-25))*E2,1)</f>
      </c>
      <c r="I2" s="3">
        <f>IF(OR(INDEX(Inverters!Q:Q,MATCH(B2,Inverters!C:C,0))="model_only_needs_datasheet",INDEX(Panels!O:O,MATCH(C2,Panels!C:C,0))="model_only_needs_datasheet"),"VERIFY",IF(AND(G2&lt;INDEX(Inverters!G:G,MATCH(B2,Inverters!C:C,0)),H2&gt;=INDEX(Inverters!I:I,MATCH(B2,Inverters!C:C,0)),H2&lt;=INDEX(Inverters!J:J,MATCH(B2,Inverters!C:C,0))),"PASS","FAIL"))</f>
      </c>
      <c r="J2" s="3">
        <f>IF(OR(INDEX(Inverters!Q:Q,MATCH(B2,Inverters!C:C,0))="model_only_needs_datasheet",INDEX(Panels!O:O,MATCH(C2,Panels!C:C,0))="model_only_needs_datasheet"),"VERIFY",IF(INDEX(Panels!F:F,MATCH(C2,Panels!C:C,0))*F2&lt;=INDEX(Inverters!M:M,MATCH(B2,Inverters!C:C,0)),"PASS","FAIL"))</f>
      </c>
      <c r="K2" s="3">
        <f>IF(ISNUMBER(SEARCH("Deye",INDEX(Batteries!M:M,MATCH(D2,Batteries!C:C,0)))),"PASS","VERIFY")</f>
      </c>
      <c r="L2" s="3">
        <f>IF(OR(I2="FAIL",J2="FAIL"),"FAIL",IF(OR(I2="VERIFY",J2="VERIFY",K2="VERIFY",INDEX(Inverters!Q:Q,MATCH(B2,Inverters!C:C,0))="model_only_needs_datasheet",INDEX(Panels!O:O,MATCH(C2,Panels!C:C,0))="model_only_needs_datasheet",INDEX(Batteries!N:N,MATCH(D2,Batteries!C:C,0))="model_only_needs_datasheet"),"VERIFY","PASS"))</f>
      </c>
      <c r="M2" t="inlineStr">
        <is>
          <t>Starter Deye LV scenario.</t>
        </is>
      </c>
    </row>
    <row r="3">
      <c r="A3" t="inlineStr">
        <is>
          <t>Residential 8kW Deye</t>
        </is>
      </c>
      <c r="B3" t="inlineStr">
        <is>
          <t>SUN-8K-SG01LP1-EU</t>
        </is>
      </c>
      <c r="C3" t="inlineStr">
        <is>
          <t>JKM575N-72HL4-V</t>
        </is>
      </c>
      <c r="D3" t="inlineStr">
        <is>
          <t>US5000</t>
        </is>
      </c>
      <c r="E3">
        <v>8</v>
      </c>
      <c r="F3">
        <v>2</v>
      </c>
      <c r="G3" s="3">
        <f>ROUND(INDEX(Panels!G:G,MATCH(C3,Panels!C:C,0))*(1+(INDEX(Panels!J:J,MATCH(C3,Panels!C:C,0))/100)*(Inputs!B5-25))*E3,1)</f>
      </c>
      <c r="H3" s="3">
        <f>ROUND(INDEX(Panels!E:E,MATCH(C3,Panels!C:C,0))*(1+(INDEX(Panels!J:J,MATCH(C3,Panels!C:C,0))/100)*(Inputs!B6-25))*E3,1)</f>
      </c>
      <c r="I3" s="3">
        <f>IF(OR(INDEX(Inverters!Q:Q,MATCH(B3,Inverters!C:C,0))="model_only_needs_datasheet",INDEX(Panels!O:O,MATCH(C3,Panels!C:C,0))="model_only_needs_datasheet"),"VERIFY",IF(AND(G3&lt;INDEX(Inverters!G:G,MATCH(B3,Inverters!C:C,0)),H3&gt;=INDEX(Inverters!I:I,MATCH(B3,Inverters!C:C,0)),H3&lt;=INDEX(Inverters!J:J,MATCH(B3,Inverters!C:C,0))),"PASS","FAIL"))</f>
      </c>
      <c r="J3" s="3">
        <f>IF(OR(INDEX(Inverters!Q:Q,MATCH(B3,Inverters!C:C,0))="model_only_needs_datasheet",INDEX(Panels!O:O,MATCH(C3,Panels!C:C,0))="model_only_needs_datasheet"),"VERIFY",IF(INDEX(Panels!F:F,MATCH(C3,Panels!C:C,0))*F3&lt;=INDEX(Inverters!M:M,MATCH(B3,Inverters!C:C,0)),"PASS","FAIL"))</f>
      </c>
      <c r="K3" s="3">
        <f>IF(ISNUMBER(SEARCH("Deye",INDEX(Batteries!M:M,MATCH(D3,Batteries!C:C,0)))),"PASS","VERIFY")</f>
      </c>
      <c r="L3" s="3">
        <f>IF(OR(I3="FAIL",J3="FAIL"),"FAIL",IF(OR(I3="VERIFY",J3="VERIFY",K3="VERIFY",INDEX(Inverters!Q:Q,MATCH(B3,Inverters!C:C,0))="model_only_needs_datasheet",INDEX(Panels!O:O,MATCH(C3,Panels!C:C,0))="model_only_needs_datasheet",INDEX(Batteries!N:N,MATCH(D3,Batteries!C:C,0))="model_only_needs_datasheet"),"VERIFY","PASS"))</f>
      </c>
      <c r="M3" t="inlineStr">
        <is>
          <t>Starter two-string Deye LV scenario.</t>
        </is>
      </c>
    </row>
    <row r="4">
      <c r="A4" t="inlineStr">
        <is>
          <t>Residential 6kW Deye</t>
        </is>
      </c>
      <c r="B4" t="inlineStr">
        <is>
          <t>SUN-6K-SG03LP1-EU</t>
        </is>
      </c>
      <c r="C4" t="inlineStr">
        <is>
          <t>LR5-72HTH-580M</t>
        </is>
      </c>
      <c r="D4" t="inlineStr">
        <is>
          <t>BX51100</t>
        </is>
      </c>
      <c r="E4">
        <v>8</v>
      </c>
      <c r="F4">
        <v>1</v>
      </c>
      <c r="G4" s="3">
        <f>ROUND(INDEX(Panels!G:G,MATCH(C4,Panels!C:C,0))*(1+(INDEX(Panels!J:J,MATCH(C4,Panels!C:C,0))/100)*(Inputs!B5-25))*E4,1)</f>
      </c>
      <c r="H4" s="3">
        <f>ROUND(INDEX(Panels!E:E,MATCH(C4,Panels!C:C,0))*(1+(INDEX(Panels!J:J,MATCH(C4,Panels!C:C,0))/100)*(Inputs!B6-25))*E4,1)</f>
      </c>
      <c r="I4" s="3">
        <f>IF(OR(INDEX(Inverters!Q:Q,MATCH(B4,Inverters!C:C,0))="model_only_needs_datasheet",INDEX(Panels!O:O,MATCH(C4,Panels!C:C,0))="model_only_needs_datasheet"),"VERIFY",IF(AND(G4&lt;INDEX(Inverters!G:G,MATCH(B4,Inverters!C:C,0)),H4&gt;=INDEX(Inverters!I:I,MATCH(B4,Inverters!C:C,0)),H4&lt;=INDEX(Inverters!J:J,MATCH(B4,Inverters!C:C,0))),"PASS","FAIL"))</f>
      </c>
      <c r="J4" s="3">
        <f>IF(OR(INDEX(Inverters!Q:Q,MATCH(B4,Inverters!C:C,0))="model_only_needs_datasheet",INDEX(Panels!O:O,MATCH(C4,Panels!C:C,0))="model_only_needs_datasheet"),"VERIFY",IF(INDEX(Panels!F:F,MATCH(C4,Panels!C:C,0))*F4&lt;=INDEX(Inverters!M:M,MATCH(B4,Inverters!C:C,0)),"PASS","FAIL"))</f>
      </c>
      <c r="K4" s="3">
        <f>IF(ISNUMBER(SEARCH("Deye",INDEX(Batteries!M:M,MATCH(D4,Batteries!C:C,0)))),"PASS","VERIFY")</f>
      </c>
      <c r="L4" s="3">
        <f>IF(OR(I4="FAIL",J4="FAIL"),"FAIL",IF(OR(I4="VERIFY",J4="VERIFY",K4="VERIFY",INDEX(Inverters!Q:Q,MATCH(B4,Inverters!C:C,0))="model_only_needs_datasheet",INDEX(Panels!O:O,MATCH(C4,Panels!C:C,0))="model_only_needs_datasheet",INDEX(Batteries!N:N,MATCH(D4,Batteries!C:C,0))="model_only_needs_datasheet"),"VERIFY","PASS"))</f>
      </c>
      <c r="M4" t="inlineStr">
        <is>
          <t>Starter LONGi plus Dyness scenario.</t>
        </is>
      </c>
    </row>
    <row r="5">
      <c r="A5" t="inlineStr">
        <is>
          <t>Commercial 10kW Deye</t>
        </is>
      </c>
      <c r="B5" t="inlineStr">
        <is>
          <t>SUN-10K-SG02LP1-EU-AM3-P</t>
        </is>
      </c>
      <c r="C5" t="inlineStr">
        <is>
          <t>TSM-NEG18R.28-500</t>
        </is>
      </c>
      <c r="D5" t="inlineStr">
        <is>
          <t>SE-G5.1</t>
        </is>
      </c>
      <c r="E5">
        <v>8</v>
      </c>
      <c r="F5">
        <v>1</v>
      </c>
      <c r="G5" s="3">
        <f>ROUND(INDEX(Panels!G:G,MATCH(C5,Panels!C:C,0))*(1+(INDEX(Panels!J:J,MATCH(C5,Panels!C:C,0))/100)*(Inputs!B5-25))*E5,1)</f>
      </c>
      <c r="H5" s="3">
        <f>ROUND(INDEX(Panels!E:E,MATCH(C5,Panels!C:C,0))*(1+(INDEX(Panels!J:J,MATCH(C5,Panels!C:C,0))/100)*(Inputs!B6-25))*E5,1)</f>
      </c>
      <c r="I5" s="3">
        <f>IF(OR(INDEX(Inverters!Q:Q,MATCH(B5,Inverters!C:C,0))="model_only_needs_datasheet",INDEX(Panels!O:O,MATCH(C5,Panels!C:C,0))="model_only_needs_datasheet"),"VERIFY",IF(AND(G5&lt;INDEX(Inverters!G:G,MATCH(B5,Inverters!C:C,0)),H5&gt;=INDEX(Inverters!I:I,MATCH(B5,Inverters!C:C,0)),H5&lt;=INDEX(Inverters!J:J,MATCH(B5,Inverters!C:C,0))),"PASS","FAIL"))</f>
      </c>
      <c r="J5" s="3">
        <f>IF(OR(INDEX(Inverters!Q:Q,MATCH(B5,Inverters!C:C,0))="model_only_needs_datasheet",INDEX(Panels!O:O,MATCH(C5,Panels!C:C,0))="model_only_needs_datasheet"),"VERIFY",IF(INDEX(Panels!F:F,MATCH(C5,Panels!C:C,0))*F5&lt;=INDEX(Inverters!M:M,MATCH(B5,Inverters!C:C,0)),"PASS","FAIL"))</f>
      </c>
      <c r="K5" s="3">
        <f>IF(ISNUMBER(SEARCH("Deye",INDEX(Batteries!M:M,MATCH(D5,Batteries!C:C,0)))),"PASS","VERIFY")</f>
      </c>
      <c r="L5" s="3">
        <f>IF(OR(I5="FAIL",J5="FAIL"),"FAIL",IF(OR(I5="VERIFY",J5="VERIFY",K5="VERIFY",INDEX(Inverters!Q:Q,MATCH(B5,Inverters!C:C,0))="model_only_needs_datasheet",INDEX(Panels!O:O,MATCH(C5,Panels!C:C,0))="model_only_needs_datasheet",INDEX(Batteries!N:N,MATCH(D5,Batteries!C:C,0))="model_only_needs_datasheet"),"VERIFY","PASS"))</f>
      </c>
      <c r="M5" t="inlineStr">
        <is>
          <t>Model-only scenario; datasheet values pending.</t>
        </is>
      </c>
    </row>
    <row r="6">
      <c r="A6" t="inlineStr">
        <is>
          <t>Hybrid 12kW Deye</t>
        </is>
      </c>
      <c r="B6" t="inlineStr">
        <is>
          <t>SUN-12K-SG02LP1-EU-AM3-P</t>
        </is>
      </c>
      <c r="C6" t="inlineStr">
        <is>
          <t>JAM54D40-440/LB</t>
        </is>
      </c>
      <c r="D6" t="inlineStr">
        <is>
          <t>SE-G5.1</t>
        </is>
      </c>
      <c r="E6">
        <v>8</v>
      </c>
      <c r="F6">
        <v>1</v>
      </c>
      <c r="G6" s="3">
        <f>ROUND(INDEX(Panels!G:G,MATCH(C6,Panels!C:C,0))*(1+(INDEX(Panels!J:J,MATCH(C6,Panels!C:C,0))/100)*(Inputs!B5-25))*E6,1)</f>
      </c>
      <c r="H6" s="3">
        <f>ROUND(INDEX(Panels!E:E,MATCH(C6,Panels!C:C,0))*(1+(INDEX(Panels!J:J,MATCH(C6,Panels!C:C,0))/100)*(Inputs!B6-25))*E6,1)</f>
      </c>
      <c r="I6" s="3">
        <f>IF(OR(INDEX(Inverters!Q:Q,MATCH(B6,Inverters!C:C,0))="model_only_needs_datasheet",INDEX(Panels!O:O,MATCH(C6,Panels!C:C,0))="model_only_needs_datasheet"),"VERIFY",IF(AND(G6&lt;INDEX(Inverters!G:G,MATCH(B6,Inverters!C:C,0)),H6&gt;=INDEX(Inverters!I:I,MATCH(B6,Inverters!C:C,0)),H6&lt;=INDEX(Inverters!J:J,MATCH(B6,Inverters!C:C,0))),"PASS","FAIL"))</f>
      </c>
      <c r="J6" s="3">
        <f>IF(OR(INDEX(Inverters!Q:Q,MATCH(B6,Inverters!C:C,0))="model_only_needs_datasheet",INDEX(Panels!O:O,MATCH(C6,Panels!C:C,0))="model_only_needs_datasheet"),"VERIFY",IF(INDEX(Panels!F:F,MATCH(C6,Panels!C:C,0))*F6&lt;=INDEX(Inverters!M:M,MATCH(B6,Inverters!C:C,0)),"PASS","FAIL"))</f>
      </c>
      <c r="K6" s="3">
        <f>IF(ISNUMBER(SEARCH("Deye",INDEX(Batteries!M:M,MATCH(D6,Batteries!C:C,0)))),"PASS","VERIFY")</f>
      </c>
      <c r="L6" s="3">
        <f>IF(OR(I6="FAIL",J6="FAIL"),"FAIL",IF(OR(I6="VERIFY",J6="VERIFY",K6="VERIFY",INDEX(Inverters!Q:Q,MATCH(B6,Inverters!C:C,0))="model_only_needs_datasheet",INDEX(Panels!O:O,MATCH(C6,Panels!C:C,0))="model_only_needs_datasheet",INDEX(Batteries!N:N,MATCH(D6,Batteries!C:C,0))="model_only_needs_datasheet"),"VERIFY","PASS"))</f>
      </c>
      <c r="M6" t="inlineStr">
        <is>
          <t>Model-only scenario; datasheet values pending.</t>
        </is>
      </c>
    </row>
    <row r="7">
      <c r="A7" t="inlineStr">
        <is>
          <t>Growatt hybrid</t>
        </is>
      </c>
      <c r="B7" t="inlineStr">
        <is>
          <t>SPH 10000TL3 BH-UP</t>
        </is>
      </c>
      <c r="C7" t="inlineStr">
        <is>
          <t>JKM575N-72HL4-V</t>
        </is>
      </c>
      <c r="D7" t="inlineStr">
        <is>
          <t>US5000</t>
        </is>
      </c>
      <c r="E7">
        <v>8</v>
      </c>
      <c r="F7">
        <v>1</v>
      </c>
      <c r="G7" s="3">
        <f>ROUND(INDEX(Panels!G:G,MATCH(C7,Panels!C:C,0))*(1+(INDEX(Panels!J:J,MATCH(C7,Panels!C:C,0))/100)*(Inputs!B5-25))*E7,1)</f>
      </c>
      <c r="H7" s="3">
        <f>ROUND(INDEX(Panels!E:E,MATCH(C7,Panels!C:C,0))*(1+(INDEX(Panels!J:J,MATCH(C7,Panels!C:C,0))/100)*(Inputs!B6-25))*E7,1)</f>
      </c>
      <c r="I7" s="3">
        <f>IF(OR(INDEX(Inverters!Q:Q,MATCH(B7,Inverters!C:C,0))="model_only_needs_datasheet",INDEX(Panels!O:O,MATCH(C7,Panels!C:C,0))="model_only_needs_datasheet"),"VERIFY",IF(AND(G7&lt;INDEX(Inverters!G:G,MATCH(B7,Inverters!C:C,0)),H7&gt;=INDEX(Inverters!I:I,MATCH(B7,Inverters!C:C,0)),H7&lt;=INDEX(Inverters!J:J,MATCH(B7,Inverters!C:C,0))),"PASS","FAIL"))</f>
      </c>
      <c r="J7" s="3">
        <f>IF(OR(INDEX(Inverters!Q:Q,MATCH(B7,Inverters!C:C,0))="model_only_needs_datasheet",INDEX(Panels!O:O,MATCH(C7,Panels!C:C,0))="model_only_needs_datasheet"),"VERIFY",IF(INDEX(Panels!F:F,MATCH(C7,Panels!C:C,0))*F7&lt;=INDEX(Inverters!M:M,MATCH(B7,Inverters!C:C,0)),"PASS","FAIL"))</f>
      </c>
      <c r="K7" s="3">
        <f>IF(ISNUMBER(SEARCH("Deye",INDEX(Batteries!M:M,MATCH(D7,Batteries!C:C,0)))),"PASS","VERIFY")</f>
      </c>
      <c r="L7" s="3">
        <f>IF(OR(I7="FAIL",J7="FAIL"),"FAIL",IF(OR(I7="VERIFY",J7="VERIFY",K7="VERIFY",INDEX(Inverters!Q:Q,MATCH(B7,Inverters!C:C,0))="model_only_needs_datasheet",INDEX(Panels!O:O,MATCH(C7,Panels!C:C,0))="model_only_needs_datasheet",INDEX(Batteries!N:N,MATCH(D7,Batteries!C:C,0))="model_only_needs_datasheet"),"VERIFY","PASS"))</f>
      </c>
      <c r="M7" t="inlineStr">
        <is>
          <t>Needs datasheet verification for exact Growatt electrical limits.</t>
        </is>
      </c>
    </row>
    <row r="8">
      <c r="A8" t="inlineStr">
        <is>
          <t>Solis hybrid</t>
        </is>
      </c>
      <c r="B8" t="inlineStr">
        <is>
          <t>S6-EH3P10K-H-EU</t>
        </is>
      </c>
      <c r="C8" t="inlineStr">
        <is>
          <t>JKM575N-72HL4-V</t>
        </is>
      </c>
      <c r="D8" t="inlineStr">
        <is>
          <t>BX51100</t>
        </is>
      </c>
      <c r="E8">
        <v>8</v>
      </c>
      <c r="F8">
        <v>1</v>
      </c>
      <c r="G8" s="3">
        <f>ROUND(INDEX(Panels!G:G,MATCH(C8,Panels!C:C,0))*(1+(INDEX(Panels!J:J,MATCH(C8,Panels!C:C,0))/100)*(Inputs!B5-25))*E8,1)</f>
      </c>
      <c r="H8" s="3">
        <f>ROUND(INDEX(Panels!E:E,MATCH(C8,Panels!C:C,0))*(1+(INDEX(Panels!J:J,MATCH(C8,Panels!C:C,0))/100)*(Inputs!B6-25))*E8,1)</f>
      </c>
      <c r="I8" s="3">
        <f>IF(OR(INDEX(Inverters!Q:Q,MATCH(B8,Inverters!C:C,0))="model_only_needs_datasheet",INDEX(Panels!O:O,MATCH(C8,Panels!C:C,0))="model_only_needs_datasheet"),"VERIFY",IF(AND(G8&lt;INDEX(Inverters!G:G,MATCH(B8,Inverters!C:C,0)),H8&gt;=INDEX(Inverters!I:I,MATCH(B8,Inverters!C:C,0)),H8&lt;=INDEX(Inverters!J:J,MATCH(B8,Inverters!C:C,0))),"PASS","FAIL"))</f>
      </c>
      <c r="J8" s="3">
        <f>IF(OR(INDEX(Inverters!Q:Q,MATCH(B8,Inverters!C:C,0))="model_only_needs_datasheet",INDEX(Panels!O:O,MATCH(C8,Panels!C:C,0))="model_only_needs_datasheet"),"VERIFY",IF(INDEX(Panels!F:F,MATCH(C8,Panels!C:C,0))*F8&lt;=INDEX(Inverters!M:M,MATCH(B8,Inverters!C:C,0)),"PASS","FAIL"))</f>
      </c>
      <c r="K8" s="3">
        <f>IF(ISNUMBER(SEARCH("Deye",INDEX(Batteries!M:M,MATCH(D8,Batteries!C:C,0)))),"PASS","VERIFY")</f>
      </c>
      <c r="L8" s="3">
        <f>IF(OR(I8="FAIL",J8="FAIL"),"FAIL",IF(OR(I8="VERIFY",J8="VERIFY",K8="VERIFY",INDEX(Inverters!Q:Q,MATCH(B8,Inverters!C:C,0))="model_only_needs_datasheet",INDEX(Panels!O:O,MATCH(C8,Panels!C:C,0))="model_only_needs_datasheet",INDEX(Batteries!N:N,MATCH(D8,Batteries!C:C,0))="model_only_needs_datasheet"),"VERIFY","PASS"))</f>
      </c>
      <c r="M8" t="inlineStr">
        <is>
          <t>Needs datasheet verification for exact Solis electrical limits.</t>
        </is>
      </c>
    </row>
    <row r="9">
      <c r="A9" t="inlineStr">
        <is>
          <t>MUST hybrid</t>
        </is>
      </c>
      <c r="B9" t="inlineStr">
        <is>
          <t>PV1800 PRO-5.2KW-48V</t>
        </is>
      </c>
      <c r="C9" t="inlineStr">
        <is>
          <t>JKM575N-72HL4-V</t>
        </is>
      </c>
      <c r="D9" t="inlineStr">
        <is>
          <t>US5000</t>
        </is>
      </c>
      <c r="E9">
        <v>4</v>
      </c>
      <c r="F9">
        <v>1</v>
      </c>
      <c r="G9" s="3">
        <f>ROUND(INDEX(Panels!G:G,MATCH(C9,Panels!C:C,0))*(1+(INDEX(Panels!J:J,MATCH(C9,Panels!C:C,0))/100)*(Inputs!B5-25))*E9,1)</f>
      </c>
      <c r="H9" s="3">
        <f>ROUND(INDEX(Panels!E:E,MATCH(C9,Panels!C:C,0))*(1+(INDEX(Panels!J:J,MATCH(C9,Panels!C:C,0))/100)*(Inputs!B6-25))*E9,1)</f>
      </c>
      <c r="I9" s="3">
        <f>IF(OR(INDEX(Inverters!Q:Q,MATCH(B9,Inverters!C:C,0))="model_only_needs_datasheet",INDEX(Panels!O:O,MATCH(C9,Panels!C:C,0))="model_only_needs_datasheet"),"VERIFY",IF(AND(G9&lt;INDEX(Inverters!G:G,MATCH(B9,Inverters!C:C,0)),H9&gt;=INDEX(Inverters!I:I,MATCH(B9,Inverters!C:C,0)),H9&lt;=INDEX(Inverters!J:J,MATCH(B9,Inverters!C:C,0))),"PASS","FAIL"))</f>
      </c>
      <c r="J9" s="3">
        <f>IF(OR(INDEX(Inverters!Q:Q,MATCH(B9,Inverters!C:C,0))="model_only_needs_datasheet",INDEX(Panels!O:O,MATCH(C9,Panels!C:C,0))="model_only_needs_datasheet"),"VERIFY",IF(INDEX(Panels!F:F,MATCH(C9,Panels!C:C,0))*F9&lt;=INDEX(Inverters!M:M,MATCH(B9,Inverters!C:C,0)),"PASS","FAIL"))</f>
      </c>
      <c r="K9" s="3">
        <f>IF(ISNUMBER(SEARCH("Deye",INDEX(Batteries!M:M,MATCH(D9,Batteries!C:C,0)))),"PASS","VERIFY")</f>
      </c>
      <c r="L9" s="3">
        <f>IF(OR(I9="FAIL",J9="FAIL"),"FAIL",IF(OR(I9="VERIFY",J9="VERIFY",K9="VERIFY",INDEX(Inverters!Q:Q,MATCH(B9,Inverters!C:C,0))="model_only_needs_datasheet",INDEX(Panels!O:O,MATCH(C9,Panels!C:C,0))="model_only_needs_datasheet",INDEX(Batteries!N:N,MATCH(D9,Batteries!C:C,0))="model_only_needs_datasheet"),"VERIFY","PASS"))</f>
      </c>
      <c r="M9" t="inlineStr">
        <is>
          <t>Low-voltage starter check.</t>
        </is>
      </c>
    </row>
  </sheetData>
  <autoFilter ref="A1:M9"/>
  <conditionalFormatting sqref="I2:L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34" customWidth="1"/>
    <col min="3" max="3" width="16" customWidth="1"/>
    <col min="4" max="4" width="72" customWidth="1"/>
  </cols>
  <sheetData>
    <row r="1">
      <c r="A1" t="inlineStr" s="1">
        <is>
          <t>Economics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Region / tariff zone</t>
        </is>
      </c>
      <c r="B2" s="3">
        <f>Inputs!B25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Selected panel power</t>
        </is>
      </c>
      <c r="B3" s="3">
        <f>INDEX(Panels!D:D,MATCH(Inputs!B4,Panels!C:C,0))</f>
      </c>
      <c r="C3" t="inlineStr">
        <is>
          <t>W</t>
        </is>
      </c>
      <c r="D3" t="inlineStr">
        <is>
          <t>From Panels database</t>
        </is>
      </c>
    </row>
    <row r="4">
      <c r="A4" t="inlineStr">
        <is>
          <t>Total panel count</t>
        </is>
      </c>
      <c r="B4" s="3">
        <f>Inputs!B12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PV system size</t>
        </is>
      </c>
      <c r="B5" s="3">
        <f>B3*B4/1000</f>
      </c>
      <c r="C5" t="inlineStr">
        <is>
          <t>kWp</t>
        </is>
      </c>
      <c r="D5" t="inlineStr">
        <is>
          <t>Panel power x total panels</t>
        </is>
      </c>
    </row>
    <row r="6">
      <c r="A6" t="inlineStr">
        <is>
          <t>Specific yield</t>
        </is>
      </c>
      <c r="B6" s="3">
        <f>INDEX(Regions!B:B,MATCH(B2,Regions!A:A,0))</f>
      </c>
      <c r="C6" t="inlineStr">
        <is>
          <t>kWh/kWp/year</t>
        </is>
      </c>
      <c r="D6" t="inlineStr">
        <is>
          <t>From Regions database</t>
        </is>
      </c>
    </row>
    <row r="7">
      <c r="A7" t="inlineStr">
        <is>
          <t>Performance ratio</t>
        </is>
      </c>
      <c r="B7" s="3">
        <v>0.85</v>
      </c>
      <c r="C7" t="inlineStr">
        <is>
          <t>factor</t>
        </is>
      </c>
      <c r="D7" t="inlineStr">
        <is>
          <t>Starter system loss factor</t>
        </is>
      </c>
    </row>
    <row r="8">
      <c r="A8" t="inlineStr">
        <is>
          <t>Annual generation</t>
        </is>
      </c>
      <c r="B8" s="3">
        <f>ROUND(B5*B6*B7,0)</f>
      </c>
      <c r="C8" t="inlineStr">
        <is>
          <t>kWh/year</t>
        </is>
      </c>
      <c r="D8" t="inlineStr">
        <is>
          <t>PV size x yield x performance ratio</t>
        </is>
      </c>
    </row>
    <row r="9">
      <c r="A9" t="inlineStr">
        <is>
          <t>Retail tariff</t>
        </is>
      </c>
      <c r="B9" s="3">
        <f>INDEX(Tariffs!B:B,MATCH(B2,Tariffs!A:A,0))</f>
      </c>
      <c r="C9" t="inlineStr">
        <is>
          <t>RUB/kWh</t>
        </is>
      </c>
      <c r="D9" t="inlineStr">
        <is>
          <t>From Tariffs database</t>
        </is>
      </c>
    </row>
    <row r="10">
      <c r="A10" t="inlineStr">
        <is>
          <t>Export / green tariff</t>
        </is>
      </c>
      <c r="B10" s="3">
        <f>INDEX(Tariffs!C:C,MATCH(B2,Tariffs!A:A,0))</f>
      </c>
      <c r="C10" t="inlineStr">
        <is>
          <t>RUB/kWh</t>
        </is>
      </c>
      <c r="D10" t="inlineStr">
        <is>
          <t>Starter microgeneration purchase value</t>
        </is>
      </c>
    </row>
    <row r="11">
      <c r="A11" t="inlineStr">
        <is>
          <t>Self-consumption share</t>
        </is>
      </c>
      <c r="B11" s="3">
        <f>Inputs!B26</f>
      </c>
      <c r="C11" t="inlineStr">
        <is>
          <t>%</t>
        </is>
      </c>
      <c r="D11" t="inlineStr">
        <is>
          <t>From Inputs</t>
        </is>
      </c>
    </row>
    <row r="12">
      <c r="A12" t="inlineStr">
        <is>
          <t>Annual savings</t>
        </is>
      </c>
      <c r="B12" s="3">
        <f>ROUND(B8*(B11/100)*B9+B8*(1-B11/100)*B10,0)</f>
      </c>
      <c r="C12" t="inlineStr">
        <is>
          <t>RUB/year</t>
        </is>
      </c>
      <c r="D12" t="inlineStr">
        <is>
          <t>Self-consumed value plus exported value</t>
        </is>
      </c>
    </row>
    <row r="13">
      <c r="A13" t="inlineStr">
        <is>
          <t>Simple payback</t>
        </is>
      </c>
      <c r="B13" s="3">
        <f>IF(B12&gt;0,ROUND(B14/B12,1),"")</f>
      </c>
      <c r="C13" t="inlineStr">
        <is>
          <t>years</t>
        </is>
      </c>
      <c r="D13" t="inlineStr">
        <is>
          <t>Installed cost / annual savings</t>
        </is>
      </c>
    </row>
    <row r="14">
      <c r="A14" t="inlineStr">
        <is>
          <t>Installed system cost</t>
        </is>
      </c>
      <c r="B14" s="3">
        <f>Inputs!B27</f>
      </c>
      <c r="C14" t="inlineStr">
        <is>
          <t>RUB</t>
        </is>
      </c>
      <c r="D14" t="inlineStr">
        <is>
          <t>From Inputs</t>
        </is>
      </c>
    </row>
    <row r="15">
      <c r="A15" t="inlineStr">
        <is>
          <t>Tariff source status</t>
        </is>
      </c>
      <c r="B15" s="3">
        <f>Inputs!B28</f>
      </c>
      <c r="C15" t="inlineStr">
        <is>
          <t/>
        </is>
      </c>
      <c r="D15" t="inlineStr">
        <is>
          <t>VERIFY until supplier/date is checked</t>
        </is>
      </c>
    </row>
    <row r="16">
      <c r="A16" t="inlineStr">
        <is>
          <t>Retail tariff source</t>
        </is>
      </c>
      <c r="B16" s="3">
        <f>INDEX(Tariffs!D:D,MATCH(B2,Tariffs!A:A,0))</f>
      </c>
      <c r="C16" t="inlineStr">
        <is>
          <t/>
        </is>
      </c>
      <c r="D16" t="inlineStr">
        <is>
          <t>Source URL</t>
        </is>
      </c>
    </row>
    <row r="17">
      <c r="A17" t="inlineStr">
        <is>
          <t>Export tariff source</t>
        </is>
      </c>
      <c r="B17" s="3">
        <f>INDEX(Tariffs!E:E,MATCH(B2,Tariffs!A:A,0))</f>
      </c>
      <c r="C17" t="inlineStr">
        <is>
          <t/>
        </is>
      </c>
      <c r="D17" t="inlineStr">
        <is>
          <t>Source URL</t>
        </is>
      </c>
    </row>
    <row r="18">
      <c r="A18" t="inlineStr">
        <is>
          <t>Monthly consumption</t>
        </is>
      </c>
      <c r="B18" s="3">
        <f>Inputs!B29</f>
      </c>
      <c r="C18" t="inlineStr">
        <is>
          <t>kWh/month</t>
        </is>
      </c>
      <c r="D18" t="inlineStr">
        <is>
          <t>From Inputs</t>
        </is>
      </c>
    </row>
    <row r="19">
      <c r="A19" t="inlineStr">
        <is>
          <t>Annual consumption</t>
        </is>
      </c>
      <c r="B19" s="3">
        <f>B18*12</f>
      </c>
      <c r="C19" t="inlineStr">
        <is>
          <t>kWh/year</t>
        </is>
      </c>
      <c r="D19" t="inlineStr">
        <is>
          <t>Monthly consumption x 12</t>
        </is>
      </c>
    </row>
    <row r="20">
      <c r="A20" t="inlineStr">
        <is>
          <t>Target annual coverage</t>
        </is>
      </c>
      <c r="B20" s="3">
        <f>B19*Inputs!B30/100</f>
      </c>
      <c r="C20" t="inlineStr">
        <is>
          <t>kWh/year</t>
        </is>
      </c>
      <c r="D20" t="inlineStr">
        <is>
          <t>Annual consumption x target coverage</t>
        </is>
      </c>
    </row>
    <row r="21">
      <c r="A21" t="inlineStr">
        <is>
          <t>Day-night blended tariff</t>
        </is>
      </c>
      <c r="B21" s="3">
        <f>Inputs!B33*(Inputs!B32/100)+Inputs!B34*(1-Inputs!B32/100)</f>
      </c>
      <c r="C21" t="inlineStr">
        <is>
          <t>RUB/kWh</t>
        </is>
      </c>
      <c r="D21" t="inlineStr">
        <is>
          <t>Day share x day tariff plus night share x night tariff</t>
        </is>
      </c>
    </row>
    <row r="22">
      <c r="A22" t="inlineStr">
        <is>
          <t>Estimated current annual cost</t>
        </is>
      </c>
      <c r="B22" s="3">
        <f>B19*B9</f>
      </c>
      <c r="C22" t="inlineStr">
        <is>
          <t>RUB/year</t>
        </is>
      </c>
      <c r="D22" t="inlineStr">
        <is>
          <t>Annual consumption x retail tariff</t>
        </is>
      </c>
    </row>
    <row r="23">
      <c r="A23" t="inlineStr">
        <is>
          <t>Estimated day-night annual cost</t>
        </is>
      </c>
      <c r="B23" s="3">
        <f>B19*B21</f>
      </c>
      <c r="C23" t="inlineStr">
        <is>
          <t>RUB/year</t>
        </is>
      </c>
      <c r="D23" t="inlineStr">
        <is>
          <t>Annual consumption x blended day-night tariff</t>
        </is>
      </c>
    </row>
    <row r="24">
      <c r="A24" t="inlineStr">
        <is>
          <t>Potential day-night saving before PV</t>
        </is>
      </c>
      <c r="B24" s="3">
        <f>MAX(0,B22-B23)</f>
      </c>
      <c r="C24" t="inlineStr">
        <is>
          <t>RUB/year</t>
        </is>
      </c>
      <c r="D24" t="inlineStr">
        <is>
          <t>Current cost minus day-night cost</t>
        </is>
      </c>
    </row>
  </sheetData>
  <conditionalFormatting sqref="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4" customWidth="1"/>
    <col min="3" max="3" width="16" customWidth="1"/>
    <col min="4" max="4" width="14" customWidth="1"/>
    <col min="5" max="5" width="14" customWidth="1"/>
    <col min="6" max="6" width="24" customWidth="1"/>
    <col min="7" max="7" width="16" customWidth="1"/>
    <col min="8" max="8" width="16" customWidth="1"/>
    <col min="9" max="9" width="10" customWidth="1"/>
    <col min="10" max="10" width="18" customWidth="1"/>
    <col min="11" max="11" width="20" customWidth="1"/>
    <col min="12" max="12" width="20" customWidth="1"/>
    <col min="13" max="13" width="12" customWidth="1"/>
    <col min="14" max="14" width="16" customWidth="1"/>
    <col min="15" max="15" width="18" customWidth="1"/>
    <col min="16" max="16" width="18" customWidth="1"/>
    <col min="17" max="17" width="24" customWidth="1"/>
    <col min="18" max="18" width="18" customWidth="1"/>
    <col min="19" max="19" width="54" customWidth="1"/>
  </cols>
  <sheetData>
    <row r="1">
      <c r="A1" t="inlineStr" s="1">
        <is>
          <t>Option</t>
        </is>
      </c>
      <c r="B1" t="inlineStr" s="1">
        <is>
          <t>Quality</t>
        </is>
      </c>
      <c r="C1" t="inlineStr" s="1">
        <is>
          <t>Cost per kWp</t>
        </is>
      </c>
      <c r="D1" t="inlineStr" s="1">
        <is>
          <t>Service life</t>
        </is>
      </c>
      <c r="E1" t="inlineStr" s="1">
        <is>
          <t>Degradation</t>
        </is>
      </c>
      <c r="F1" t="inlineStr" s="1">
        <is>
          <t>Required annual generation</t>
        </is>
      </c>
      <c r="G1" t="inlineStr" s="1">
        <is>
          <t>Required kWp</t>
        </is>
      </c>
      <c r="H1" t="inlineStr" s="1">
        <is>
          <t>Recommended kWp</t>
        </is>
      </c>
      <c r="I1" t="inlineStr" s="1">
        <is>
          <t>Panels</t>
        </is>
      </c>
      <c r="J1" t="inlineStr" s="1">
        <is>
          <t>Daily generation</t>
        </is>
      </c>
      <c r="K1" t="inlineStr" s="1">
        <is>
          <t>Monthly generation</t>
        </is>
      </c>
      <c r="L1" t="inlineStr" s="1">
        <is>
          <t>Annual generation</t>
        </is>
      </c>
      <c r="M1" t="inlineStr" s="1">
        <is>
          <t>Coverage</t>
        </is>
      </c>
      <c r="N1" t="inlineStr" s="1">
        <is>
          <t>Estimated cost</t>
        </is>
      </c>
      <c r="O1" t="inlineStr" s="1">
        <is>
          <t>Single-rate savings</t>
        </is>
      </c>
      <c r="P1" t="inlineStr" s="1">
        <is>
          <t>Day-night savings</t>
        </is>
      </c>
      <c r="Q1" t="inlineStr" s="1">
        <is>
          <t>Green tariff export revenue</t>
        </is>
      </c>
      <c r="R1" t="inlineStr" s="1">
        <is>
          <t>Payback day-night</t>
        </is>
      </c>
      <c r="S1" t="inlineStr" s="1">
        <is>
          <t>Notes</t>
        </is>
      </c>
    </row>
    <row r="2">
      <c r="A2" t="inlineStr">
        <is>
          <t>Premium</t>
        </is>
      </c>
      <c r="B2" s="3">
        <f>INDEX(OptionTiers!B:B,MATCH(A2,OptionTiers!A:A,0))</f>
      </c>
      <c r="C2" s="3">
        <f>INDEX(OptionTiers!C:C,MATCH(A2,OptionTiers!A:A,0))</f>
      </c>
      <c r="D2" s="3">
        <f>INDEX(OptionTiers!D:D,MATCH(A2,OptionTiers!A:A,0))</f>
      </c>
      <c r="E2" s="3">
        <f>INDEX(OptionTiers!E:E,MATCH(A2,OptionTiers!A:A,0))</f>
      </c>
      <c r="F2" s="3">
        <f>Economics!B20</f>
      </c>
      <c r="G2" s="3">
        <f>F2/Economics!B6/Economics!B7</f>
      </c>
      <c r="H2" s="3">
        <f>ROUNDUP(G2*1000/INDEX(Panels!D:D,MATCH(Inputs!B4,Panels!C:C,0)),0)*INDEX(Panels!D:D,MATCH(Inputs!B4,Panels!C:C,0))/1000</f>
      </c>
      <c r="I2" s="3">
        <f>ROUNDUP(G2*1000/INDEX(Panels!D:D,MATCH(Inputs!B4,Panels!C:C,0)),0)</f>
      </c>
      <c r="J2" s="3">
        <f>ROUND(L2/365,1)</f>
      </c>
      <c r="K2" s="3">
        <f>ROUND(L2/12,0)</f>
      </c>
      <c r="L2" s="3">
        <f>ROUND(H2*Economics!B6*Economics!B7,0)</f>
      </c>
      <c r="M2" s="3">
        <f>ROUND(L2/Economics!B19*100,0)</f>
      </c>
      <c r="N2" s="3">
        <f>ROUND(H2*C2,0)</f>
      </c>
      <c r="O2" s="3">
        <f>ROUND(L2*(Inputs!B26/100)*Economics!B9+L2*(1-Inputs!B26/100)*Economics!B10,0)</f>
      </c>
      <c r="P2" s="3">
        <f>ROUND(L2*(Inputs!B26/100)*Economics!B21+L2*(1-Inputs!B26/100)*Economics!B10+Economics!B24,0)</f>
      </c>
      <c r="Q2" s="3">
        <f>ROUND(L2*(1-Inputs!B26/100)*Economics!B10,0)</f>
      </c>
      <c r="R2" s="3">
        <f>IF(P2&gt;0,ROUND(N2/P2,1),"")</f>
      </c>
      <c r="S2" t="inlineStr">
        <is>
          <t>Higher allowance; verify commercial offer</t>
        </is>
      </c>
    </row>
    <row r="3">
      <c r="A3" t="inlineStr">
        <is>
          <t>Standard</t>
        </is>
      </c>
      <c r="B3" s="3">
        <f>INDEX(OptionTiers!B:B,MATCH(A3,OptionTiers!A:A,0))</f>
      </c>
      <c r="C3" s="3">
        <f>INDEX(OptionTiers!C:C,MATCH(A3,OptionTiers!A:A,0))</f>
      </c>
      <c r="D3" s="3">
        <f>INDEX(OptionTiers!D:D,MATCH(A3,OptionTiers!A:A,0))</f>
      </c>
      <c r="E3" s="3">
        <f>INDEX(OptionTiers!E:E,MATCH(A3,OptionTiers!A:A,0))</f>
      </c>
      <c r="F3" s="3">
        <f>Economics!B20</f>
      </c>
      <c r="G3" s="3">
        <f>F3/Economics!B6/Economics!B7</f>
      </c>
      <c r="H3" s="3">
        <f>ROUNDUP(G3*1000/INDEX(Panels!D:D,MATCH(Inputs!B4,Panels!C:C,0)),0)*INDEX(Panels!D:D,MATCH(Inputs!B4,Panels!C:C,0))/1000</f>
      </c>
      <c r="I3" s="3">
        <f>ROUNDUP(G3*1000/INDEX(Panels!D:D,MATCH(Inputs!B4,Panels!C:C,0)),0)</f>
      </c>
      <c r="J3" s="3">
        <f>ROUND(L3/365,1)</f>
      </c>
      <c r="K3" s="3">
        <f>ROUND(L3/12,0)</f>
      </c>
      <c r="L3" s="3">
        <f>ROUND(H3*Economics!B6*Economics!B7,0)</f>
      </c>
      <c r="M3" s="3">
        <f>ROUND(L3/Economics!B19*100,0)</f>
      </c>
      <c r="N3" s="3">
        <f>ROUND(H3*C3,0)</f>
      </c>
      <c r="O3" s="3">
        <f>ROUND(L3*(Inputs!B26/100)*Economics!B9+L3*(1-Inputs!B26/100)*Economics!B10,0)</f>
      </c>
      <c r="P3" s="3">
        <f>ROUND(L3*(Inputs!B26/100)*Economics!B21+L3*(1-Inputs!B26/100)*Economics!B10+Economics!B24,0)</f>
      </c>
      <c r="Q3" s="3">
        <f>ROUND(L3*(1-Inputs!B26/100)*Economics!B10,0)</f>
      </c>
      <c r="R3" s="3">
        <f>IF(P3&gt;0,ROUND(N3/P3,1),"")</f>
      </c>
      <c r="S3" t="inlineStr">
        <is>
          <t>Balanced default option</t>
        </is>
      </c>
    </row>
    <row r="4">
      <c r="A4" t="inlineStr">
        <is>
          <t>Economy</t>
        </is>
      </c>
      <c r="B4" s="3">
        <f>INDEX(OptionTiers!B:B,MATCH(A4,OptionTiers!A:A,0))</f>
      </c>
      <c r="C4" s="3">
        <f>INDEX(OptionTiers!C:C,MATCH(A4,OptionTiers!A:A,0))</f>
      </c>
      <c r="D4" s="3">
        <f>INDEX(OptionTiers!D:D,MATCH(A4,OptionTiers!A:A,0))</f>
      </c>
      <c r="E4" s="3">
        <f>INDEX(OptionTiers!E:E,MATCH(A4,OptionTiers!A:A,0))</f>
      </c>
      <c r="F4" s="3">
        <f>Economics!B20</f>
      </c>
      <c r="G4" s="3">
        <f>F4/Economics!B6/Economics!B7</f>
      </c>
      <c r="H4" s="3">
        <f>ROUNDUP(G4*1000/INDEX(Panels!D:D,MATCH(Inputs!B4,Panels!C:C,0)),0)*INDEX(Panels!D:D,MATCH(Inputs!B4,Panels!C:C,0))/1000</f>
      </c>
      <c r="I4" s="3">
        <f>ROUNDUP(G4*1000/INDEX(Panels!D:D,MATCH(Inputs!B4,Panels!C:C,0)),0)</f>
      </c>
      <c r="J4" s="3">
        <f>ROUND(L4/365,1)</f>
      </c>
      <c r="K4" s="3">
        <f>ROUND(L4/12,0)</f>
      </c>
      <c r="L4" s="3">
        <f>ROUND(H4*Economics!B6*Economics!B7,0)</f>
      </c>
      <c r="M4" s="3">
        <f>ROUND(L4/Economics!B19*100,0)</f>
      </c>
      <c r="N4" s="3">
        <f>ROUND(H4*C4,0)</f>
      </c>
      <c r="O4" s="3">
        <f>ROUND(L4*(Inputs!B26/100)*Economics!B9+L4*(1-Inputs!B26/100)*Economics!B10,0)</f>
      </c>
      <c r="P4" s="3">
        <f>ROUND(L4*(Inputs!B26/100)*Economics!B21+L4*(1-Inputs!B26/100)*Economics!B10+Economics!B24,0)</f>
      </c>
      <c r="Q4" s="3">
        <f>ROUND(L4*(1-Inputs!B26/100)*Economics!B10,0)</f>
      </c>
      <c r="R4" s="3">
        <f>IF(P4&gt;0,ROUND(N4/P4,1),"")</f>
      </c>
      <c r="S4" t="inlineStr">
        <is>
          <t>Lower cost allowance; verify warranties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xSplit="0" ySplit="1" topLeftCell="A2" activePane="bottomRight" state="frozen"/>
    </sheetView>
  </sheetViews>
  <sheetFormatPr defaultRowHeight="16"/>
  <cols>
    <col min="1" max="1" width="1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inlineStr" s="1">
        <is>
          <t>Year</t>
        </is>
      </c>
      <c r="B1" t="inlineStr" s="1">
        <is>
          <t>Premium generation</t>
        </is>
      </c>
      <c r="C1" t="inlineStr" s="1">
        <is>
          <t>Standard generation</t>
        </is>
      </c>
      <c r="D1" t="inlineStr" s="1">
        <is>
          <t>Economy generation</t>
        </is>
      </c>
      <c r="E1" t="inlineStr" s="1">
        <is>
          <t>Premium cumulative</t>
        </is>
      </c>
      <c r="F1" t="inlineStr" s="1">
        <is>
          <t>Standard cumulative</t>
        </is>
      </c>
      <c r="G1" t="inlineStr" s="1">
        <is>
          <t>Economy cumulative</t>
        </is>
      </c>
    </row>
    <row r="2">
      <c r="A2">
        <v>0</v>
      </c>
      <c r="B2" s="3">
        <f>ROUND(SystemOptions!L2*(1-SystemOptions!E2/100)^A2,0)</f>
      </c>
      <c r="C2" s="3">
        <f>ROUND(SystemOptions!L3*(1-SystemOptions!E3/100)^A2,0)</f>
      </c>
      <c r="D2" s="3">
        <f>ROUND(SystemOptions!L4*(1-SystemOptions!E4/100)^A2,0)</f>
      </c>
      <c r="E2" s="3">
        <f>SUM(B$2:B2)</f>
      </c>
      <c r="F2" s="3">
        <f>SUM(C$2:C2)</f>
      </c>
      <c r="G2" s="3">
        <f>SUM(D$2:D2)</f>
      </c>
    </row>
    <row r="3">
      <c r="A3">
        <v>1</v>
      </c>
      <c r="B3" s="3">
        <f>ROUND(SystemOptions!L2*(1-SystemOptions!E2/100)^A3,0)</f>
      </c>
      <c r="C3" s="3">
        <f>ROUND(SystemOptions!L3*(1-SystemOptions!E3/100)^A3,0)</f>
      </c>
      <c r="D3" s="3">
        <f>ROUND(SystemOptions!L4*(1-SystemOptions!E4/100)^A3,0)</f>
      </c>
      <c r="E3" s="3">
        <f>SUM(B$2:B3)</f>
      </c>
      <c r="F3" s="3">
        <f>SUM(C$2:C3)</f>
      </c>
      <c r="G3" s="3">
        <f>SUM(D$2:D3)</f>
      </c>
    </row>
    <row r="4">
      <c r="A4">
        <v>2</v>
      </c>
      <c r="B4" s="3">
        <f>ROUND(SystemOptions!L2*(1-SystemOptions!E2/100)^A4,0)</f>
      </c>
      <c r="C4" s="3">
        <f>ROUND(SystemOptions!L3*(1-SystemOptions!E3/100)^A4,0)</f>
      </c>
      <c r="D4" s="3">
        <f>ROUND(SystemOptions!L4*(1-SystemOptions!E4/100)^A4,0)</f>
      </c>
      <c r="E4" s="3">
        <f>SUM(B$2:B4)</f>
      </c>
      <c r="F4" s="3">
        <f>SUM(C$2:C4)</f>
      </c>
      <c r="G4" s="3">
        <f>SUM(D$2:D4)</f>
      </c>
    </row>
    <row r="5">
      <c r="A5">
        <v>3</v>
      </c>
      <c r="B5" s="3">
        <f>ROUND(SystemOptions!L2*(1-SystemOptions!E2/100)^A5,0)</f>
      </c>
      <c r="C5" s="3">
        <f>ROUND(SystemOptions!L3*(1-SystemOptions!E3/100)^A5,0)</f>
      </c>
      <c r="D5" s="3">
        <f>ROUND(SystemOptions!L4*(1-SystemOptions!E4/100)^A5,0)</f>
      </c>
      <c r="E5" s="3">
        <f>SUM(B$2:B5)</f>
      </c>
      <c r="F5" s="3">
        <f>SUM(C$2:C5)</f>
      </c>
      <c r="G5" s="3">
        <f>SUM(D$2:D5)</f>
      </c>
    </row>
    <row r="6">
      <c r="A6">
        <v>4</v>
      </c>
      <c r="B6" s="3">
        <f>ROUND(SystemOptions!L2*(1-SystemOptions!E2/100)^A6,0)</f>
      </c>
      <c r="C6" s="3">
        <f>ROUND(SystemOptions!L3*(1-SystemOptions!E3/100)^A6,0)</f>
      </c>
      <c r="D6" s="3">
        <f>ROUND(SystemOptions!L4*(1-SystemOptions!E4/100)^A6,0)</f>
      </c>
      <c r="E6" s="3">
        <f>SUM(B$2:B6)</f>
      </c>
      <c r="F6" s="3">
        <f>SUM(C$2:C6)</f>
      </c>
      <c r="G6" s="3">
        <f>SUM(D$2:D6)</f>
      </c>
    </row>
    <row r="7">
      <c r="A7">
        <v>5</v>
      </c>
      <c r="B7" s="3">
        <f>ROUND(SystemOptions!L2*(1-SystemOptions!E2/100)^A7,0)</f>
      </c>
      <c r="C7" s="3">
        <f>ROUND(SystemOptions!L3*(1-SystemOptions!E3/100)^A7,0)</f>
      </c>
      <c r="D7" s="3">
        <f>ROUND(SystemOptions!L4*(1-SystemOptions!E4/100)^A7,0)</f>
      </c>
      <c r="E7" s="3">
        <f>SUM(B$2:B7)</f>
      </c>
      <c r="F7" s="3">
        <f>SUM(C$2:C7)</f>
      </c>
      <c r="G7" s="3">
        <f>SUM(D$2:D7)</f>
      </c>
    </row>
    <row r="8">
      <c r="A8">
        <v>6</v>
      </c>
      <c r="B8" s="3">
        <f>ROUND(SystemOptions!L2*(1-SystemOptions!E2/100)^A8,0)</f>
      </c>
      <c r="C8" s="3">
        <f>ROUND(SystemOptions!L3*(1-SystemOptions!E3/100)^A8,0)</f>
      </c>
      <c r="D8" s="3">
        <f>ROUND(SystemOptions!L4*(1-SystemOptions!E4/100)^A8,0)</f>
      </c>
      <c r="E8" s="3">
        <f>SUM(B$2:B8)</f>
      </c>
      <c r="F8" s="3">
        <f>SUM(C$2:C8)</f>
      </c>
      <c r="G8" s="3">
        <f>SUM(D$2:D8)</f>
      </c>
    </row>
    <row r="9">
      <c r="A9">
        <v>7</v>
      </c>
      <c r="B9" s="3">
        <f>ROUND(SystemOptions!L2*(1-SystemOptions!E2/100)^A9,0)</f>
      </c>
      <c r="C9" s="3">
        <f>ROUND(SystemOptions!L3*(1-SystemOptions!E3/100)^A9,0)</f>
      </c>
      <c r="D9" s="3">
        <f>ROUND(SystemOptions!L4*(1-SystemOptions!E4/100)^A9,0)</f>
      </c>
      <c r="E9" s="3">
        <f>SUM(B$2:B9)</f>
      </c>
      <c r="F9" s="3">
        <f>SUM(C$2:C9)</f>
      </c>
      <c r="G9" s="3">
        <f>SUM(D$2:D9)</f>
      </c>
    </row>
    <row r="10">
      <c r="A10">
        <v>8</v>
      </c>
      <c r="B10" s="3">
        <f>ROUND(SystemOptions!L2*(1-SystemOptions!E2/100)^A10,0)</f>
      </c>
      <c r="C10" s="3">
        <f>ROUND(SystemOptions!L3*(1-SystemOptions!E3/100)^A10,0)</f>
      </c>
      <c r="D10" s="3">
        <f>ROUND(SystemOptions!L4*(1-SystemOptions!E4/100)^A10,0)</f>
      </c>
      <c r="E10" s="3">
        <f>SUM(B$2:B10)</f>
      </c>
      <c r="F10" s="3">
        <f>SUM(C$2:C10)</f>
      </c>
      <c r="G10" s="3">
        <f>SUM(D$2:D10)</f>
      </c>
    </row>
    <row r="11">
      <c r="A11">
        <v>9</v>
      </c>
      <c r="B11" s="3">
        <f>ROUND(SystemOptions!L2*(1-SystemOptions!E2/100)^A11,0)</f>
      </c>
      <c r="C11" s="3">
        <f>ROUND(SystemOptions!L3*(1-SystemOptions!E3/100)^A11,0)</f>
      </c>
      <c r="D11" s="3">
        <f>ROUND(SystemOptions!L4*(1-SystemOptions!E4/100)^A11,0)</f>
      </c>
      <c r="E11" s="3">
        <f>SUM(B$2:B11)</f>
      </c>
      <c r="F11" s="3">
        <f>SUM(C$2:C11)</f>
      </c>
      <c r="G11" s="3">
        <f>SUM(D$2:D11)</f>
      </c>
    </row>
    <row r="12">
      <c r="A12">
        <v>10</v>
      </c>
      <c r="B12" s="3">
        <f>ROUND(SystemOptions!L2*(1-SystemOptions!E2/100)^A12,0)</f>
      </c>
      <c r="C12" s="3">
        <f>ROUND(SystemOptions!L3*(1-SystemOptions!E3/100)^A12,0)</f>
      </c>
      <c r="D12" s="3">
        <f>ROUND(SystemOptions!L4*(1-SystemOptions!E4/100)^A12,0)</f>
      </c>
      <c r="E12" s="3">
        <f>SUM(B$2:B12)</f>
      </c>
      <c r="F12" s="3">
        <f>SUM(C$2:C12)</f>
      </c>
      <c r="G12" s="3">
        <f>SUM(D$2:D12)</f>
      </c>
    </row>
    <row r="13">
      <c r="A13">
        <v>11</v>
      </c>
      <c r="B13" s="3">
        <f>ROUND(SystemOptions!L2*(1-SystemOptions!E2/100)^A13,0)</f>
      </c>
      <c r="C13" s="3">
        <f>ROUND(SystemOptions!L3*(1-SystemOptions!E3/100)^A13,0)</f>
      </c>
      <c r="D13" s="3">
        <f>ROUND(SystemOptions!L4*(1-SystemOptions!E4/100)^A13,0)</f>
      </c>
      <c r="E13" s="3">
        <f>SUM(B$2:B13)</f>
      </c>
      <c r="F13" s="3">
        <f>SUM(C$2:C13)</f>
      </c>
      <c r="G13" s="3">
        <f>SUM(D$2:D13)</f>
      </c>
    </row>
    <row r="14">
      <c r="A14">
        <v>12</v>
      </c>
      <c r="B14" s="3">
        <f>ROUND(SystemOptions!L2*(1-SystemOptions!E2/100)^A14,0)</f>
      </c>
      <c r="C14" s="3">
        <f>ROUND(SystemOptions!L3*(1-SystemOptions!E3/100)^A14,0)</f>
      </c>
      <c r="D14" s="3">
        <f>ROUND(SystemOptions!L4*(1-SystemOptions!E4/100)^A14,0)</f>
      </c>
      <c r="E14" s="3">
        <f>SUM(B$2:B14)</f>
      </c>
      <c r="F14" s="3">
        <f>SUM(C$2:C14)</f>
      </c>
      <c r="G14" s="3">
        <f>SUM(D$2:D14)</f>
      </c>
    </row>
    <row r="15">
      <c r="A15">
        <v>13</v>
      </c>
      <c r="B15" s="3">
        <f>ROUND(SystemOptions!L2*(1-SystemOptions!E2/100)^A15,0)</f>
      </c>
      <c r="C15" s="3">
        <f>ROUND(SystemOptions!L3*(1-SystemOptions!E3/100)^A15,0)</f>
      </c>
      <c r="D15" s="3">
        <f>ROUND(SystemOptions!L4*(1-SystemOptions!E4/100)^A15,0)</f>
      </c>
      <c r="E15" s="3">
        <f>SUM(B$2:B15)</f>
      </c>
      <c r="F15" s="3">
        <f>SUM(C$2:C15)</f>
      </c>
      <c r="G15" s="3">
        <f>SUM(D$2:D15)</f>
      </c>
    </row>
    <row r="16">
      <c r="A16">
        <v>14</v>
      </c>
      <c r="B16" s="3">
        <f>ROUND(SystemOptions!L2*(1-SystemOptions!E2/100)^A16,0)</f>
      </c>
      <c r="C16" s="3">
        <f>ROUND(SystemOptions!L3*(1-SystemOptions!E3/100)^A16,0)</f>
      </c>
      <c r="D16" s="3">
        <f>ROUND(SystemOptions!L4*(1-SystemOptions!E4/100)^A16,0)</f>
      </c>
      <c r="E16" s="3">
        <f>SUM(B$2:B16)</f>
      </c>
      <c r="F16" s="3">
        <f>SUM(C$2:C16)</f>
      </c>
      <c r="G16" s="3">
        <f>SUM(D$2:D16)</f>
      </c>
    </row>
    <row r="17">
      <c r="A17">
        <v>15</v>
      </c>
      <c r="B17" s="3">
        <f>ROUND(SystemOptions!L2*(1-SystemOptions!E2/100)^A17,0)</f>
      </c>
      <c r="C17" s="3">
        <f>ROUND(SystemOptions!L3*(1-SystemOptions!E3/100)^A17,0)</f>
      </c>
      <c r="D17" s="3">
        <f>ROUND(SystemOptions!L4*(1-SystemOptions!E4/100)^A17,0)</f>
      </c>
      <c r="E17" s="3">
        <f>SUM(B$2:B17)</f>
      </c>
      <c r="F17" s="3">
        <f>SUM(C$2:C17)</f>
      </c>
      <c r="G17" s="3">
        <f>SUM(D$2:D17)</f>
      </c>
    </row>
    <row r="18">
      <c r="A18">
        <v>16</v>
      </c>
      <c r="B18" s="3">
        <f>ROUND(SystemOptions!L2*(1-SystemOptions!E2/100)^A18,0)</f>
      </c>
      <c r="C18" s="3">
        <f>ROUND(SystemOptions!L3*(1-SystemOptions!E3/100)^A18,0)</f>
      </c>
      <c r="D18" s="3">
        <f>ROUND(SystemOptions!L4*(1-SystemOptions!E4/100)^A18,0)</f>
      </c>
      <c r="E18" s="3">
        <f>SUM(B$2:B18)</f>
      </c>
      <c r="F18" s="3">
        <f>SUM(C$2:C18)</f>
      </c>
      <c r="G18" s="3">
        <f>SUM(D$2:D18)</f>
      </c>
    </row>
    <row r="19">
      <c r="A19">
        <v>17</v>
      </c>
      <c r="B19" s="3">
        <f>ROUND(SystemOptions!L2*(1-SystemOptions!E2/100)^A19,0)</f>
      </c>
      <c r="C19" s="3">
        <f>ROUND(SystemOptions!L3*(1-SystemOptions!E3/100)^A19,0)</f>
      </c>
      <c r="D19" s="3">
        <f>ROUND(SystemOptions!L4*(1-SystemOptions!E4/100)^A19,0)</f>
      </c>
      <c r="E19" s="3">
        <f>SUM(B$2:B19)</f>
      </c>
      <c r="F19" s="3">
        <f>SUM(C$2:C19)</f>
      </c>
      <c r="G19" s="3">
        <f>SUM(D$2:D19)</f>
      </c>
    </row>
    <row r="20">
      <c r="A20">
        <v>18</v>
      </c>
      <c r="B20" s="3">
        <f>ROUND(SystemOptions!L2*(1-SystemOptions!E2/100)^A20,0)</f>
      </c>
      <c r="C20" s="3">
        <f>ROUND(SystemOptions!L3*(1-SystemOptions!E3/100)^A20,0)</f>
      </c>
      <c r="D20" s="3">
        <f>ROUND(SystemOptions!L4*(1-SystemOptions!E4/100)^A20,0)</f>
      </c>
      <c r="E20" s="3">
        <f>SUM(B$2:B20)</f>
      </c>
      <c r="F20" s="3">
        <f>SUM(C$2:C20)</f>
      </c>
      <c r="G20" s="3">
        <f>SUM(D$2:D20)</f>
      </c>
    </row>
    <row r="21">
      <c r="A21">
        <v>19</v>
      </c>
      <c r="B21" s="3">
        <f>ROUND(SystemOptions!L2*(1-SystemOptions!E2/100)^A21,0)</f>
      </c>
      <c r="C21" s="3">
        <f>ROUND(SystemOptions!L3*(1-SystemOptions!E3/100)^A21,0)</f>
      </c>
      <c r="D21" s="3">
        <f>ROUND(SystemOptions!L4*(1-SystemOptions!E4/100)^A21,0)</f>
      </c>
      <c r="E21" s="3">
        <f>SUM(B$2:B21)</f>
      </c>
      <c r="F21" s="3">
        <f>SUM(C$2:C21)</f>
      </c>
      <c r="G21" s="3">
        <f>SUM(D$2:D21)</f>
      </c>
    </row>
    <row r="22">
      <c r="A22">
        <v>20</v>
      </c>
      <c r="B22" s="3">
        <f>ROUND(SystemOptions!L2*(1-SystemOptions!E2/100)^A22,0)</f>
      </c>
      <c r="C22" s="3">
        <f>ROUND(SystemOptions!L3*(1-SystemOptions!E3/100)^A22,0)</f>
      </c>
      <c r="D22" s="3">
        <f>ROUND(SystemOptions!L4*(1-SystemOptions!E4/100)^A22,0)</f>
      </c>
      <c r="E22" s="3">
        <f>SUM(B$2:B22)</f>
      </c>
      <c r="F22" s="3">
        <f>SUM(C$2:C22)</f>
      </c>
      <c r="G22" s="3">
        <f>SUM(D$2:D22)</f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6" customWidth="1"/>
    <col min="3" max="3" width="18" customWidth="1"/>
    <col min="4" max="4" width="18" customWidth="1"/>
    <col min="5" max="5" width="18" customWidth="1"/>
    <col min="6" max="6" width="72" customWidth="1"/>
  </cols>
  <sheetData>
    <row r="1">
      <c r="A1" t="inlineStr" s="1">
        <is>
          <t>tier</t>
        </is>
      </c>
      <c r="B1" t="inlineStr" s="1">
        <is>
          <t>quality_level</t>
        </is>
      </c>
      <c r="C1" t="inlineStr" s="1">
        <is>
          <t>cost_rub_per_kwp</t>
        </is>
      </c>
      <c r="D1" t="inlineStr" s="1">
        <is>
          <t>panel_service_life_years</t>
        </is>
      </c>
      <c r="E1" t="inlineStr" s="1">
        <is>
          <t>panel_degradation_pct_year</t>
        </is>
      </c>
      <c r="F1" t="inlineStr" s="1">
        <is>
          <t>notes</t>
        </is>
      </c>
    </row>
    <row r="2">
      <c r="A2" t="inlineStr">
        <is>
          <t>Premium</t>
        </is>
      </c>
      <c r="B2" t="inlineStr">
        <is>
          <t>premium</t>
        </is>
      </c>
      <c r="C2">
        <v>105000</v>
      </c>
      <c r="D2">
        <v>25</v>
      </c>
      <c r="E2">
        <v>0.4</v>
      </c>
      <c r="F2" t="inlineStr">
        <is>
          <t>Higher equipment and installation allowance; verify commercial offer.</t>
        </is>
      </c>
    </row>
    <row r="3">
      <c r="A3" t="inlineStr">
        <is>
          <t>Standard</t>
        </is>
      </c>
      <c r="B3" t="inlineStr">
        <is>
          <t>base</t>
        </is>
      </c>
      <c r="C3">
        <v>85000</v>
      </c>
      <c r="D3">
        <v>25</v>
      </c>
      <c r="E3">
        <v>0.5</v>
      </c>
      <c r="F3" t="inlineStr">
        <is>
          <t>Balanced default option for most customers; verify commercial offer.</t>
        </is>
      </c>
    </row>
    <row r="4">
      <c r="A4" t="inlineStr">
        <is>
          <t>Economy</t>
        </is>
      </c>
      <c r="B4" t="inlineStr">
        <is>
          <t>economy</t>
        </is>
      </c>
      <c r="C4">
        <v>70000</v>
      </c>
      <c r="D4">
        <v>20</v>
      </c>
      <c r="E4">
        <v>0.7</v>
      </c>
      <c r="F4" t="inlineStr">
        <is>
          <t>Lower cost allowance; verify component quality and warranty.</t>
        </is>
      </c>
    </row>
  </sheetData>
  <autoFilter ref="A1:F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xSplit="0" ySplit="1" topLeftCell="A2" activePane="bottomRight" state="frozen"/>
    </sheetView>
  </sheetViews>
  <sheetFormatPr defaultRowHeight="16"/>
  <cols>
    <col min="1" max="1" width="12" customWidth="1"/>
    <col min="2" max="2" width="16" customWidth="1"/>
    <col min="3" max="3" width="16" customWidth="1"/>
    <col min="4" max="4" width="16" customWidth="1"/>
    <col min="5" max="5" width="22" customWidth="1"/>
    <col min="6" max="6" width="14" customWidth="1"/>
    <col min="7" max="7" width="16" customWidth="1"/>
    <col min="8" max="8" width="16" customWidth="1"/>
    <col min="9" max="9" width="12" customWidth="1"/>
  </cols>
  <sheetData>
    <row r="1">
      <c r="A1" t="inlineStr" s="1">
        <is>
          <t>Month</t>
        </is>
      </c>
      <c r="B1" t="inlineStr" s="1">
        <is>
          <t>Generation</t>
        </is>
      </c>
      <c r="C1" t="inlineStr" s="1">
        <is>
          <t>Consumption</t>
        </is>
      </c>
      <c r="D1" t="inlineStr" s="1">
        <is>
          <t>Self-consumed</t>
        </is>
      </c>
      <c r="E1" t="inlineStr" s="1">
        <is>
          <t>Self-consumption value</t>
        </is>
      </c>
      <c r="F1" t="inlineStr" s="1">
        <is>
          <t>Exported</t>
        </is>
      </c>
      <c r="G1" t="inlineStr" s="1">
        <is>
          <t>Export value</t>
        </is>
      </c>
      <c r="H1" t="inlineStr" s="1">
        <is>
          <t>Total value</t>
        </is>
      </c>
      <c r="I1" t="inlineStr" s="1">
        <is>
          <t>Coverage</t>
        </is>
      </c>
    </row>
    <row r="2">
      <c r="A2" t="inlineStr">
        <is>
          <t>Jan</t>
        </is>
      </c>
      <c r="B2" s="3">
        <f>ROUND(SystemOptions!L3*INDEX(MonthlyYieldProfile!B:B,MATCH(Inputs!B25,MonthlyYieldProfile!A:A,0))/100,0)</f>
      </c>
      <c r="C2" s="3">
        <f>Inputs!B29</f>
      </c>
      <c r="D2" s="3">
        <f>MIN(B2,C2,B2*Inputs!B26/100)</f>
      </c>
      <c r="E2" s="3">
        <f>ROUND(D2*Economics!B21,0)</f>
      </c>
      <c r="F2" s="3">
        <f>MAX(0,B2-D2)</f>
      </c>
      <c r="G2" s="3">
        <f>ROUND(F2*Economics!B10,0)</f>
      </c>
      <c r="H2" s="3">
        <f>E2+G2</f>
      </c>
      <c r="I2" s="3">
        <f>ROUND(B2/C2*100,0)</f>
      </c>
    </row>
    <row r="3">
      <c r="A3" t="inlineStr">
        <is>
          <t>Feb</t>
        </is>
      </c>
      <c r="B3" s="3">
        <f>ROUND(SystemOptions!L3*INDEX(MonthlyYieldProfile!C:C,MATCH(Inputs!B25,MonthlyYieldProfile!A:A,0))/100,0)</f>
      </c>
      <c r="C3" s="3">
        <f>Inputs!B29</f>
      </c>
      <c r="D3" s="3">
        <f>MIN(B3,C3,B3*Inputs!B26/100)</f>
      </c>
      <c r="E3" s="3">
        <f>ROUND(D3*Economics!B21,0)</f>
      </c>
      <c r="F3" s="3">
        <f>MAX(0,B3-D3)</f>
      </c>
      <c r="G3" s="3">
        <f>ROUND(F3*Economics!B10,0)</f>
      </c>
      <c r="H3" s="3">
        <f>E3+G3</f>
      </c>
      <c r="I3" s="3">
        <f>ROUND(B3/C3*100,0)</f>
      </c>
    </row>
    <row r="4">
      <c r="A4" t="inlineStr">
        <is>
          <t>Mar</t>
        </is>
      </c>
      <c r="B4" s="3">
        <f>ROUND(SystemOptions!L3*INDEX(MonthlyYieldProfile!D:D,MATCH(Inputs!B25,MonthlyYieldProfile!A:A,0))/100,0)</f>
      </c>
      <c r="C4" s="3">
        <f>Inputs!B29</f>
      </c>
      <c r="D4" s="3">
        <f>MIN(B4,C4,B4*Inputs!B26/100)</f>
      </c>
      <c r="E4" s="3">
        <f>ROUND(D4*Economics!B21,0)</f>
      </c>
      <c r="F4" s="3">
        <f>MAX(0,B4-D4)</f>
      </c>
      <c r="G4" s="3">
        <f>ROUND(F4*Economics!B10,0)</f>
      </c>
      <c r="H4" s="3">
        <f>E4+G4</f>
      </c>
      <c r="I4" s="3">
        <f>ROUND(B4/C4*100,0)</f>
      </c>
    </row>
    <row r="5">
      <c r="A5" t="inlineStr">
        <is>
          <t>Apr</t>
        </is>
      </c>
      <c r="B5" s="3">
        <f>ROUND(SystemOptions!L3*INDEX(MonthlyYieldProfile!E:E,MATCH(Inputs!B25,MonthlyYieldProfile!A:A,0))/100,0)</f>
      </c>
      <c r="C5" s="3">
        <f>Inputs!B29</f>
      </c>
      <c r="D5" s="3">
        <f>MIN(B5,C5,B5*Inputs!B26/100)</f>
      </c>
      <c r="E5" s="3">
        <f>ROUND(D5*Economics!B21,0)</f>
      </c>
      <c r="F5" s="3">
        <f>MAX(0,B5-D5)</f>
      </c>
      <c r="G5" s="3">
        <f>ROUND(F5*Economics!B10,0)</f>
      </c>
      <c r="H5" s="3">
        <f>E5+G5</f>
      </c>
      <c r="I5" s="3">
        <f>ROUND(B5/C5*100,0)</f>
      </c>
    </row>
    <row r="6">
      <c r="A6" t="inlineStr">
        <is>
          <t>May</t>
        </is>
      </c>
      <c r="B6" s="3">
        <f>ROUND(SystemOptions!L3*INDEX(MonthlyYieldProfile!F:F,MATCH(Inputs!B25,MonthlyYieldProfile!A:A,0))/100,0)</f>
      </c>
      <c r="C6" s="3">
        <f>Inputs!B29</f>
      </c>
      <c r="D6" s="3">
        <f>MIN(B6,C6,B6*Inputs!B26/100)</f>
      </c>
      <c r="E6" s="3">
        <f>ROUND(D6*Economics!B21,0)</f>
      </c>
      <c r="F6" s="3">
        <f>MAX(0,B6-D6)</f>
      </c>
      <c r="G6" s="3">
        <f>ROUND(F6*Economics!B10,0)</f>
      </c>
      <c r="H6" s="3">
        <f>E6+G6</f>
      </c>
      <c r="I6" s="3">
        <f>ROUND(B6/C6*100,0)</f>
      </c>
    </row>
    <row r="7">
      <c r="A7" t="inlineStr">
        <is>
          <t>Jun</t>
        </is>
      </c>
      <c r="B7" s="3">
        <f>ROUND(SystemOptions!L3*INDEX(MonthlyYieldProfile!G:G,MATCH(Inputs!B25,MonthlyYieldProfile!A:A,0))/100,0)</f>
      </c>
      <c r="C7" s="3">
        <f>Inputs!B29</f>
      </c>
      <c r="D7" s="3">
        <f>MIN(B7,C7,B7*Inputs!B26/100)</f>
      </c>
      <c r="E7" s="3">
        <f>ROUND(D7*Economics!B21,0)</f>
      </c>
      <c r="F7" s="3">
        <f>MAX(0,B7-D7)</f>
      </c>
      <c r="G7" s="3">
        <f>ROUND(F7*Economics!B10,0)</f>
      </c>
      <c r="H7" s="3">
        <f>E7+G7</f>
      </c>
      <c r="I7" s="3">
        <f>ROUND(B7/C7*100,0)</f>
      </c>
    </row>
    <row r="8">
      <c r="A8" t="inlineStr">
        <is>
          <t>Jul</t>
        </is>
      </c>
      <c r="B8" s="3">
        <f>ROUND(SystemOptions!L3*INDEX(MonthlyYieldProfile!H:H,MATCH(Inputs!B25,MonthlyYieldProfile!A:A,0))/100,0)</f>
      </c>
      <c r="C8" s="3">
        <f>Inputs!B29</f>
      </c>
      <c r="D8" s="3">
        <f>MIN(B8,C8,B8*Inputs!B26/100)</f>
      </c>
      <c r="E8" s="3">
        <f>ROUND(D8*Economics!B21,0)</f>
      </c>
      <c r="F8" s="3">
        <f>MAX(0,B8-D8)</f>
      </c>
      <c r="G8" s="3">
        <f>ROUND(F8*Economics!B10,0)</f>
      </c>
      <c r="H8" s="3">
        <f>E8+G8</f>
      </c>
      <c r="I8" s="3">
        <f>ROUND(B8/C8*100,0)</f>
      </c>
    </row>
    <row r="9">
      <c r="A9" t="inlineStr">
        <is>
          <t>Aug</t>
        </is>
      </c>
      <c r="B9" s="3">
        <f>ROUND(SystemOptions!L3*INDEX(MonthlyYieldProfile!I:I,MATCH(Inputs!B25,MonthlyYieldProfile!A:A,0))/100,0)</f>
      </c>
      <c r="C9" s="3">
        <f>Inputs!B29</f>
      </c>
      <c r="D9" s="3">
        <f>MIN(B9,C9,B9*Inputs!B26/100)</f>
      </c>
      <c r="E9" s="3">
        <f>ROUND(D9*Economics!B21,0)</f>
      </c>
      <c r="F9" s="3">
        <f>MAX(0,B9-D9)</f>
      </c>
      <c r="G9" s="3">
        <f>ROUND(F9*Economics!B10,0)</f>
      </c>
      <c r="H9" s="3">
        <f>E9+G9</f>
      </c>
      <c r="I9" s="3">
        <f>ROUND(B9/C9*100,0)</f>
      </c>
    </row>
    <row r="10">
      <c r="A10" t="inlineStr">
        <is>
          <t>Sep</t>
        </is>
      </c>
      <c r="B10" s="3">
        <f>ROUND(SystemOptions!L3*INDEX(MonthlyYieldProfile!J:J,MATCH(Inputs!B25,MonthlyYieldProfile!A:A,0))/100,0)</f>
      </c>
      <c r="C10" s="3">
        <f>Inputs!B29</f>
      </c>
      <c r="D10" s="3">
        <f>MIN(B10,C10,B10*Inputs!B26/100)</f>
      </c>
      <c r="E10" s="3">
        <f>ROUND(D10*Economics!B21,0)</f>
      </c>
      <c r="F10" s="3">
        <f>MAX(0,B10-D10)</f>
      </c>
      <c r="G10" s="3">
        <f>ROUND(F10*Economics!B10,0)</f>
      </c>
      <c r="H10" s="3">
        <f>E10+G10</f>
      </c>
      <c r="I10" s="3">
        <f>ROUND(B10/C10*100,0)</f>
      </c>
    </row>
    <row r="11">
      <c r="A11" t="inlineStr">
        <is>
          <t>Oct</t>
        </is>
      </c>
      <c r="B11" s="3">
        <f>ROUND(SystemOptions!L3*INDEX(MonthlyYieldProfile!K:K,MATCH(Inputs!B25,MonthlyYieldProfile!A:A,0))/100,0)</f>
      </c>
      <c r="C11" s="3">
        <f>Inputs!B29</f>
      </c>
      <c r="D11" s="3">
        <f>MIN(B11,C11,B11*Inputs!B26/100)</f>
      </c>
      <c r="E11" s="3">
        <f>ROUND(D11*Economics!B21,0)</f>
      </c>
      <c r="F11" s="3">
        <f>MAX(0,B11-D11)</f>
      </c>
      <c r="G11" s="3">
        <f>ROUND(F11*Economics!B10,0)</f>
      </c>
      <c r="H11" s="3">
        <f>E11+G11</f>
      </c>
      <c r="I11" s="3">
        <f>ROUND(B11/C11*100,0)</f>
      </c>
    </row>
    <row r="12">
      <c r="A12" t="inlineStr">
        <is>
          <t>Nov</t>
        </is>
      </c>
      <c r="B12" s="3">
        <f>ROUND(SystemOptions!L3*INDEX(MonthlyYieldProfile!L:L,MATCH(Inputs!B25,MonthlyYieldProfile!A:A,0))/100,0)</f>
      </c>
      <c r="C12" s="3">
        <f>Inputs!B29</f>
      </c>
      <c r="D12" s="3">
        <f>MIN(B12,C12,B12*Inputs!B26/100)</f>
      </c>
      <c r="E12" s="3">
        <f>ROUND(D12*Economics!B21,0)</f>
      </c>
      <c r="F12" s="3">
        <f>MAX(0,B12-D12)</f>
      </c>
      <c r="G12" s="3">
        <f>ROUND(F12*Economics!B10,0)</f>
      </c>
      <c r="H12" s="3">
        <f>E12+G12</f>
      </c>
      <c r="I12" s="3">
        <f>ROUND(B12/C12*100,0)</f>
      </c>
    </row>
    <row r="13">
      <c r="A13" t="inlineStr">
        <is>
          <t>Dec</t>
        </is>
      </c>
      <c r="B13" s="3">
        <f>ROUND(SystemOptions!L3*INDEX(MonthlyYieldProfile!M:M,MATCH(Inputs!B25,MonthlyYieldProfile!A:A,0))/100,0)</f>
      </c>
      <c r="C13" s="3">
        <f>Inputs!B29</f>
      </c>
      <c r="D13" s="3">
        <f>MIN(B13,C13,B13*Inputs!B26/100)</f>
      </c>
      <c r="E13" s="3">
        <f>ROUND(D13*Economics!B21,0)</f>
      </c>
      <c r="F13" s="3">
        <f>MAX(0,B13-D13)</f>
      </c>
      <c r="G13" s="3">
        <f>ROUND(F13*Economics!B10,0)</f>
      </c>
      <c r="H13" s="3">
        <f>E13+G13</f>
      </c>
      <c r="I13" s="3">
        <f>ROUND(B13/C13*100,0)</f>
      </c>
    </row>
    <row r="14">
      <c r="A14" t="inlineStr">
        <is>
          <t>Total</t>
        </is>
      </c>
      <c r="B14" s="3">
        <f>SUM(B2:B13)</f>
      </c>
      <c r="C14" s="3">
        <f>SUM(C2:C13)</f>
      </c>
      <c r="D14" s="3">
        <f>SUM(D2:D13)</f>
      </c>
      <c r="E14" s="3">
        <f>SUM(E2:E13)</f>
      </c>
      <c r="F14" s="3">
        <f>SUM(F2:F13)</f>
      </c>
      <c r="G14" s="3">
        <f>SUM(G2:G13)</f>
      </c>
      <c r="H14" s="3">
        <f>SUM(H2:H13)</f>
      </c>
      <c r="I14" s="3">
        <f>ROUND(B14/C14*100,0)</f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14" max="14" width="22" customWidth="1"/>
    <col min="15" max="15" width="78" customWidth="1"/>
  </cols>
  <sheetData>
    <row r="1">
      <c r="A1" t="inlineStr" s="1">
        <is>
          <t>region</t>
        </is>
      </c>
      <c r="B1" t="inlineStr" s="1">
        <is>
          <t>jan_pct</t>
        </is>
      </c>
      <c r="C1" t="inlineStr" s="1">
        <is>
          <t>feb_pct</t>
        </is>
      </c>
      <c r="D1" t="inlineStr" s="1">
        <is>
          <t>mar_pct</t>
        </is>
      </c>
      <c r="E1" t="inlineStr" s="1">
        <is>
          <t>apr_pct</t>
        </is>
      </c>
      <c r="F1" t="inlineStr" s="1">
        <is>
          <t>may_pct</t>
        </is>
      </c>
      <c r="G1" t="inlineStr" s="1">
        <is>
          <t>jun_pct</t>
        </is>
      </c>
      <c r="H1" t="inlineStr" s="1">
        <is>
          <t>jul_pct</t>
        </is>
      </c>
      <c r="I1" t="inlineStr" s="1">
        <is>
          <t>aug_pct</t>
        </is>
      </c>
      <c r="J1" t="inlineStr" s="1">
        <is>
          <t>sep_pct</t>
        </is>
      </c>
      <c r="K1" t="inlineStr" s="1">
        <is>
          <t>oct_pct</t>
        </is>
      </c>
      <c r="L1" t="inlineStr" s="1">
        <is>
          <t>nov_pct</t>
        </is>
      </c>
      <c r="M1" t="inlineStr" s="1">
        <is>
          <t>dec_pct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Moscow starter</t>
        </is>
      </c>
      <c r="B2">
        <v>3</v>
      </c>
      <c r="C2">
        <v>5</v>
      </c>
      <c r="D2">
        <v>8</v>
      </c>
      <c r="E2">
        <v>11</v>
      </c>
      <c r="F2">
        <v>13</v>
      </c>
      <c r="G2">
        <v>14</v>
      </c>
      <c r="H2">
        <v>14</v>
      </c>
      <c r="I2">
        <v>12</v>
      </c>
      <c r="J2">
        <v>9</v>
      </c>
      <c r="K2">
        <v>6</v>
      </c>
      <c r="L2">
        <v>3</v>
      </c>
      <c r="M2">
        <v>2</v>
      </c>
      <c r="N2" t="inlineStr">
        <is>
          <t>seed_verify_source</t>
        </is>
      </c>
      <c r="O2" t="inlineStr">
        <is>
          <t>Starter seasonal split; verify exact site with PVGIS or Global Solar Atlas.</t>
        </is>
      </c>
    </row>
    <row r="3">
      <c r="A3" t="inlineStr">
        <is>
          <t>Saint Petersburg starter</t>
        </is>
      </c>
      <c r="B3">
        <v>2</v>
      </c>
      <c r="C3">
        <v>4</v>
      </c>
      <c r="D3">
        <v>8</v>
      </c>
      <c r="E3">
        <v>11</v>
      </c>
      <c r="F3">
        <v>14</v>
      </c>
      <c r="G3">
        <v>15</v>
      </c>
      <c r="H3">
        <v>15</v>
      </c>
      <c r="I3">
        <v>12</v>
      </c>
      <c r="J3">
        <v>9</v>
      </c>
      <c r="K3">
        <v>5</v>
      </c>
      <c r="L3">
        <v>3</v>
      </c>
      <c r="M3">
        <v>2</v>
      </c>
      <c r="N3" t="inlineStr">
        <is>
          <t>seed_verify_source</t>
        </is>
      </c>
      <c r="O3" t="inlineStr">
        <is>
          <t>Starter seasonal split; verify exact site with PVGIS or Global Solar Atlas.</t>
        </is>
      </c>
    </row>
    <row r="4">
      <c r="A4" t="inlineStr">
        <is>
          <t>Krasnodar starter</t>
        </is>
      </c>
      <c r="B4">
        <v>5</v>
      </c>
      <c r="C4">
        <v>6</v>
      </c>
      <c r="D4">
        <v>9</v>
      </c>
      <c r="E4">
        <v>10</v>
      </c>
      <c r="F4">
        <v>12</v>
      </c>
      <c r="G4">
        <v>13</v>
      </c>
      <c r="H4">
        <v>13</v>
      </c>
      <c r="I4">
        <v>12</v>
      </c>
      <c r="J4">
        <v>9</v>
      </c>
      <c r="K4">
        <v>6</v>
      </c>
      <c r="L4">
        <v>4</v>
      </c>
      <c r="M4">
        <v>3</v>
      </c>
      <c r="N4" t="inlineStr">
        <is>
          <t>seed_verify_source</t>
        </is>
      </c>
      <c r="O4" t="inlineStr">
        <is>
          <t>Starter seasonal split; verify exact site with PVGIS or Global Solar Atlas.</t>
        </is>
      </c>
    </row>
    <row r="5">
      <c r="A5" t="inlineStr">
        <is>
          <t>Rostov-on-Don starter</t>
        </is>
      </c>
      <c r="B5">
        <v>4</v>
      </c>
      <c r="C5">
        <v>6</v>
      </c>
      <c r="D5">
        <v>9</v>
      </c>
      <c r="E5">
        <v>11</v>
      </c>
      <c r="F5">
        <v>12</v>
      </c>
      <c r="G5">
        <v>13</v>
      </c>
      <c r="H5">
        <v>13</v>
      </c>
      <c r="I5">
        <v>12</v>
      </c>
      <c r="J5">
        <v>9</v>
      </c>
      <c r="K5">
        <v>6</v>
      </c>
      <c r="L5">
        <v>3</v>
      </c>
      <c r="M5">
        <v>2</v>
      </c>
      <c r="N5" t="inlineStr">
        <is>
          <t>seed_verify_source</t>
        </is>
      </c>
      <c r="O5" t="inlineStr">
        <is>
          <t>Starter seasonal split; verify exact site with PVGIS or Global Solar Atlas.</t>
        </is>
      </c>
    </row>
    <row r="6">
      <c r="A6" t="inlineStr">
        <is>
          <t>Yekaterinburg starter</t>
        </is>
      </c>
      <c r="B6">
        <v>3</v>
      </c>
      <c r="C6">
        <v>5</v>
      </c>
      <c r="D6">
        <v>9</v>
      </c>
      <c r="E6">
        <v>11</v>
      </c>
      <c r="F6">
        <v>13</v>
      </c>
      <c r="G6">
        <v>14</v>
      </c>
      <c r="H6">
        <v>14</v>
      </c>
      <c r="I6">
        <v>11</v>
      </c>
      <c r="J6">
        <v>9</v>
      </c>
      <c r="K6">
        <v>6</v>
      </c>
      <c r="L6">
        <v>3</v>
      </c>
      <c r="M6">
        <v>2</v>
      </c>
      <c r="N6" t="inlineStr">
        <is>
          <t>seed_verify_source</t>
        </is>
      </c>
      <c r="O6" t="inlineStr">
        <is>
          <t>Starter seasonal split; verify exact site with PVGIS or Global Solar Atlas.</t>
        </is>
      </c>
    </row>
  </sheetData>
  <autoFilter ref="A1:O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0" ySplit="1" topLeftCell="A2" activePane="bottomRight" state="frozen"/>
    </sheetView>
  </sheetViews>
  <sheetFormatPr defaultRowHeight="16"/>
  <cols>
    <col min="1" max="1" width="28" customWidth="1"/>
    <col min="2" max="2" width="34" customWidth="1"/>
    <col min="3" max="3" width="78" customWidth="1"/>
  </cols>
  <sheetData>
    <row r="1">
      <c r="A1" t="inlineStr" s="1">
        <is>
          <t>condition</t>
        </is>
      </c>
      <c r="B1" t="inlineStr" s="1">
        <is>
          <t>recommended_spd</t>
        </is>
      </c>
      <c r="C1" t="inlineStr" s="1">
        <is>
          <t>notes</t>
        </is>
      </c>
    </row>
    <row r="2">
      <c r="A2" t="inlineStr">
        <is>
          <t>No external LPS</t>
        </is>
      </c>
      <c r="B2" t="inlineStr">
        <is>
          <t>Type 2 DC/AC SPD</t>
        </is>
      </c>
      <c r="C2" t="inlineStr">
        <is>
          <t>Starter residential/commercial assumption; verify risk assessment and local standards.</t>
        </is>
      </c>
    </row>
    <row r="3">
      <c r="A3" t="inlineStr">
        <is>
          <t>External LPS</t>
        </is>
      </c>
      <c r="B3" t="inlineStr">
        <is>
          <t>Type 1+2 DC/AC SPD</t>
        </is>
      </c>
      <c r="C3" t="inlineStr">
        <is>
          <t>Use when building has external lightning protection system; verify coordination.</t>
        </is>
      </c>
    </row>
    <row r="4">
      <c r="A4" t="inlineStr">
        <is>
          <t>Overhead supply</t>
        </is>
      </c>
      <c r="B4" t="inlineStr">
        <is>
          <t>Type 1+2 AC SPD</t>
        </is>
      </c>
      <c r="C4" t="inlineStr">
        <is>
          <t>Often required on AC side with overhead supply; verify utility and standards.</t>
        </is>
      </c>
    </row>
    <row r="5">
      <c r="A5" t="inlineStr">
        <is>
          <t>Long outdoor DC route</t>
        </is>
      </c>
      <c r="B5" t="inlineStr">
        <is>
          <t>Type 2 DC SPD near inverter and array</t>
        </is>
      </c>
      <c r="C5" t="inlineStr">
        <is>
          <t>May require additional SPD placement; verify cable route and inverter manual.</t>
        </is>
      </c>
    </row>
  </sheetData>
  <autoFilter ref="A1:C5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34" customWidth="1"/>
    <col min="3" max="3" width="78" customWidth="1"/>
  </cols>
  <sheetData>
    <row r="1">
      <c r="A1" t="inlineStr" s="1">
        <is>
          <t>earthing_system</t>
        </is>
      </c>
      <c r="B1" t="inlineStr" s="1">
        <is>
          <t>starter_requirement</t>
        </is>
      </c>
      <c r="C1" t="inlineStr" s="1">
        <is>
          <t>notes</t>
        </is>
      </c>
    </row>
    <row r="2">
      <c r="A2" t="inlineStr">
        <is>
          <t>TN-S</t>
        </is>
      </c>
      <c r="B2" t="inlineStr">
        <is>
          <t>PE continuity and bonding check</t>
        </is>
      </c>
      <c r="C2" t="inlineStr">
        <is>
          <t>Verify PE conductor sizing</t>
        </is>
      </c>
      <c r="D2" t="inlineStr">
        <is>
          <t> equipotential bonding</t>
        </is>
      </c>
      <c r="E2" t="inlineStr">
        <is>
          <t> and SPD connection length.</t>
        </is>
      </c>
    </row>
    <row r="3">
      <c r="A3" t="inlineStr">
        <is>
          <t>TN-C-S</t>
        </is>
      </c>
      <c r="B3" t="inlineStr">
        <is>
          <t>Separate PEN/PE handling check</t>
        </is>
      </c>
      <c r="C3" t="inlineStr">
        <is>
          <t>Verify local rules for PV connection</t>
        </is>
      </c>
      <c r="D3" t="inlineStr">
        <is>
          <t> bonding</t>
        </is>
      </c>
      <c r="E3" t="inlineStr">
        <is>
          <t> and SPD earthing.</t>
        </is>
      </c>
    </row>
    <row r="4">
      <c r="A4" t="inlineStr">
        <is>
          <t>TT</t>
        </is>
      </c>
      <c r="B4" t="inlineStr">
        <is>
          <t>RCD and earth electrode check</t>
        </is>
      </c>
      <c r="C4" t="inlineStr">
        <is>
          <t>Verify electrode resistance</t>
        </is>
      </c>
      <c r="D4" t="inlineStr">
        <is>
          <t> RCD coordination</t>
        </is>
      </c>
      <c r="E4" t="inlineStr">
        <is>
          <t> and SPD discharge path.</t>
        </is>
      </c>
    </row>
    <row r="5">
      <c r="A5" t="inlineStr">
        <is>
          <t>IT</t>
        </is>
      </c>
      <c r="B5" t="inlineStr">
        <is>
          <t>Special protection study required</t>
        </is>
      </c>
      <c r="C5" t="inlineStr">
        <is>
          <t>Do not use starter assumptions without engineering verification.</t>
        </is>
      </c>
    </row>
  </sheetData>
  <autoFilter ref="A1:C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6"/>
  <cols>
    <col min="1" max="1" width="24" customWidth="1"/>
    <col min="2" max="2" width="28" customWidth="1"/>
    <col min="3" max="3" width="16" customWidth="1"/>
    <col min="4" max="4" width="78" customWidth="1"/>
  </cols>
  <sheetData>
    <row r="1">
      <c r="A1" t="inlineStr" s="1">
        <is>
          <t>factor_type</t>
        </is>
      </c>
      <c r="B1" t="inlineStr" s="1">
        <is>
          <t>option</t>
        </is>
      </c>
      <c r="C1" t="inlineStr" s="1">
        <is>
          <t>default_factor</t>
        </is>
      </c>
      <c r="D1" t="inlineStr" s="1">
        <is>
          <t>notes</t>
        </is>
      </c>
    </row>
    <row r="2">
      <c r="A2" t="inlineStr">
        <is>
          <t>installation_method</t>
        </is>
      </c>
      <c r="B2" t="inlineStr">
        <is>
          <t>Open air</t>
        </is>
      </c>
      <c r="C2">
        <v>1</v>
      </c>
      <c r="D2" t="inlineStr">
        <is>
          <t>Starter assumption for ventilated cable routes; verify local tables.</t>
        </is>
      </c>
    </row>
    <row r="3">
      <c r="A3" t="inlineStr">
        <is>
          <t>installation_method</t>
        </is>
      </c>
      <c r="B3" t="inlineStr">
        <is>
          <t>Conduit or trunking</t>
        </is>
      </c>
      <c r="C3">
        <v>0.85</v>
      </c>
      <c r="D3" t="inlineStr">
        <is>
          <t>Starter derating for enclosed routes; verify local tables.</t>
        </is>
      </c>
    </row>
    <row r="4">
      <c r="A4" t="inlineStr">
        <is>
          <t>installation_method</t>
        </is>
      </c>
      <c r="B4" t="inlineStr">
        <is>
          <t>Thermal insulation</t>
        </is>
      </c>
      <c r="C4">
        <v>0.65</v>
      </c>
      <c r="D4" t="inlineStr">
        <is>
          <t>High derating risk; verify local tables.</t>
        </is>
      </c>
    </row>
    <row r="5">
      <c r="A5" t="inlineStr">
        <is>
          <t>grouping</t>
        </is>
      </c>
      <c r="B5" t="inlineStr">
        <is>
          <t>Single circuit</t>
        </is>
      </c>
      <c r="C5">
        <v>1</v>
      </c>
      <c r="D5" t="inlineStr">
        <is>
          <t>No grouping derating applied.</t>
        </is>
      </c>
    </row>
    <row r="6">
      <c r="A6" t="inlineStr">
        <is>
          <t>grouping</t>
        </is>
      </c>
      <c r="B6" t="inlineStr">
        <is>
          <t>Several circuits</t>
        </is>
      </c>
      <c r="C6">
        <v>0.8</v>
      </c>
      <c r="D6" t="inlineStr">
        <is>
          <t>Starter grouping derating; verify actual routing.</t>
        </is>
      </c>
    </row>
    <row r="7">
      <c r="A7" t="inlineStr">
        <is>
          <t>temperature</t>
        </is>
      </c>
      <c r="B7" t="inlineStr">
        <is>
          <t>Standard ambient</t>
        </is>
      </c>
      <c r="C7">
        <v>1</v>
      </c>
      <c r="D7" t="inlineStr">
        <is>
          <t>Starter assumption.</t>
        </is>
      </c>
    </row>
    <row r="8">
      <c r="A8" t="inlineStr">
        <is>
          <t>temperature</t>
        </is>
      </c>
      <c r="B8" t="inlineStr">
        <is>
          <t>High ambient</t>
        </is>
      </c>
      <c r="C8">
        <v>0.87</v>
      </c>
      <c r="D8" t="inlineStr">
        <is>
          <t>Starter derating for hot environments; verify cable rating.</t>
        </is>
      </c>
    </row>
  </sheetData>
  <autoFilter ref="A1:D8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  <row r="34">
      <c r="A34" t="inlineStr">
        <is>
          <t>Ground mount</t>
        </is>
      </c>
      <c r="B34" t="inlineStr">
        <is>
          <t>Ground post</t>
        </is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1</v>
      </c>
      <c r="J34" t="inlineStr">
        <is>
          <t>Two ground posts per row as starter assumption; verify soil and wind load.</t>
        </is>
      </c>
    </row>
    <row r="35">
      <c r="A35" t="inlineStr">
        <is>
          <t>Ground mount</t>
        </is>
      </c>
      <c r="B35" t="inlineStr">
        <is>
          <t>Ground rail</t>
        </is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1</v>
      </c>
      <c r="J35" t="inlineStr">
        <is>
          <t>Two rails per panel row equivalent for ground structure.</t>
        </is>
      </c>
    </row>
    <row r="36">
      <c r="A36" t="inlineStr">
        <is>
          <t>Ground mount</t>
        </is>
      </c>
      <c r="B36" t="inlineStr">
        <is>
          <t>Rail connector</t>
        </is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1</v>
      </c>
      <c r="J36" t="inlineStr">
        <is>
          <t>Two connectors per rail joint.</t>
        </is>
      </c>
    </row>
    <row r="37">
      <c r="A37" t="inlineStr">
        <is>
          <t>Ground mount</t>
        </is>
      </c>
      <c r="B37" t="inlineStr">
        <is>
          <t>End clamp</t>
        </is>
      </c>
      <c r="C37">
        <v>0</v>
      </c>
      <c r="D37">
        <v>0</v>
      </c>
      <c r="E37">
        <v>4</v>
      </c>
      <c r="F37">
        <v>0</v>
      </c>
      <c r="G37">
        <v>0</v>
      </c>
      <c r="H37">
        <v>0</v>
      </c>
      <c r="I37">
        <v>1</v>
      </c>
      <c r="J37" t="inlineStr">
        <is>
          <t>Four end clamps per row.</t>
        </is>
      </c>
    </row>
    <row r="38">
      <c r="A38" t="inlineStr">
        <is>
          <t>Ground mount</t>
        </is>
      </c>
      <c r="B38" t="inlineStr">
        <is>
          <t>Middle clamp</t>
        </is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1</v>
      </c>
      <c r="J38" t="inlineStr">
        <is>
          <t>Two middle clamps per panel gap.</t>
        </is>
      </c>
    </row>
    <row r="39">
      <c r="A39" t="inlineStr">
        <is>
          <t>Ground mount</t>
        </is>
      </c>
      <c r="B39" t="inlineStr">
        <is>
          <t>Bolt set</t>
        </is>
      </c>
      <c r="C39">
        <v>0</v>
      </c>
      <c r="D39">
        <v>6</v>
      </c>
      <c r="E39">
        <v>0</v>
      </c>
      <c r="F39">
        <v>0</v>
      </c>
      <c r="G39">
        <v>0</v>
      </c>
      <c r="H39">
        <v>0</v>
      </c>
      <c r="I39">
        <v>1</v>
      </c>
      <c r="J39" t="inlineStr">
        <is>
          <t>Starter fastener set allowance for ground structure.</t>
        </is>
      </c>
    </row>
    <row r="40">
      <c r="A40" t="inlineStr">
        <is>
          <t>Ground mount</t>
        </is>
      </c>
      <c r="B40" t="inlineStr">
        <is>
          <t>Grounding clip</t>
        </is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 t="inlineStr">
        <is>
          <t>One grounding clip per module.</t>
        </is>
      </c>
    </row>
    <row r="41">
      <c r="A41" t="inlineStr">
        <is>
          <t>Ground mount</t>
        </is>
      </c>
      <c r="B41" t="inlineStr">
        <is>
          <t>Cable clip</t>
        </is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1</v>
      </c>
      <c r="J41" t="inlineStr">
        <is>
          <t>Two cable clips per module.</t>
        </is>
      </c>
    </row>
  </sheetData>
  <autoFilter ref="A1:J4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4" customWidth="1"/>
    <col min="3" max="3" width="42" customWidth="1"/>
    <col min="4" max="4" width="22" customWidth="1"/>
    <col min="5" max="5" width="78" customWidth="1"/>
  </cols>
  <sheetData>
    <row r="1">
      <c r="A1" t="inlineStr" s="1">
        <is>
          <t>region</t>
        </is>
      </c>
      <c r="B1" t="inlineStr" s="1">
        <is>
          <t>specific_yield_kwh_per_kwp_year</t>
        </is>
      </c>
      <c r="C1" t="inlineStr" s="1">
        <is>
          <t>source_url</t>
        </is>
      </c>
      <c r="D1" t="inlineStr" s="1">
        <is>
          <t>data_status</t>
        </is>
      </c>
      <c r="E1" t="inlineStr" s="1">
        <is>
          <t>notes</t>
        </is>
      </c>
    </row>
    <row r="2">
      <c r="A2" t="inlineStr">
        <is>
          <t>Moscow starter</t>
        </is>
      </c>
      <c r="B2">
        <v>950</v>
      </c>
      <c r="C2" t="inlineStr">
        <is>
          <t>https://globalsolaratlas.info/</t>
        </is>
      </c>
      <c r="D2" t="inlineStr">
        <is>
          <t>seed_verify_source</t>
        </is>
      </c>
      <c r="E2" t="inlineStr">
        <is>
          <t>Starter annual yield assumption; verify exact site with PVGIS or Global Solar Atlas.</t>
        </is>
      </c>
    </row>
    <row r="3">
      <c r="A3" t="inlineStr">
        <is>
          <t>Saint Petersburg starter</t>
        </is>
      </c>
      <c r="B3">
        <v>850</v>
      </c>
      <c r="C3" t="inlineStr">
        <is>
          <t>https://globalsolaratlas.info/</t>
        </is>
      </c>
      <c r="D3" t="inlineStr">
        <is>
          <t>seed_verify_source</t>
        </is>
      </c>
      <c r="E3" t="inlineStr">
        <is>
          <t>Starter annual yield assumption; verify exact site with PVGIS or Global Solar Atlas.</t>
        </is>
      </c>
    </row>
    <row r="4">
      <c r="A4" t="inlineStr">
        <is>
          <t>Krasnodar starter</t>
        </is>
      </c>
      <c r="B4">
        <v>1300</v>
      </c>
      <c r="C4" t="inlineStr">
        <is>
          <t>https://globalsolaratlas.info/</t>
        </is>
      </c>
      <c r="D4" t="inlineStr">
        <is>
          <t>seed_verify_source</t>
        </is>
      </c>
      <c r="E4" t="inlineStr">
        <is>
          <t>Starter annual yield assumption; verify exact site with PVGIS or Global Solar Atlas.</t>
        </is>
      </c>
    </row>
    <row r="5">
      <c r="A5" t="inlineStr">
        <is>
          <t>Rostov-on-Don starter</t>
        </is>
      </c>
      <c r="B5">
        <v>1250</v>
      </c>
      <c r="C5" t="inlineStr">
        <is>
          <t>https://globalsolaratlas.info/</t>
        </is>
      </c>
      <c r="D5" t="inlineStr">
        <is>
          <t>seed_verify_source</t>
        </is>
      </c>
      <c r="E5" t="inlineStr">
        <is>
          <t>Starter annual yield assumption; verify exact site with PVGIS or Global Solar Atlas.</t>
        </is>
      </c>
    </row>
    <row r="6">
      <c r="A6" t="inlineStr">
        <is>
          <t>Yekaterinburg starter</t>
        </is>
      </c>
      <c r="B6">
        <v>1050</v>
      </c>
      <c r="C6" t="inlineStr">
        <is>
          <t>https://globalsolaratlas.info/</t>
        </is>
      </c>
      <c r="D6" t="inlineStr">
        <is>
          <t>seed_verify_source</t>
        </is>
      </c>
      <c r="E6" t="inlineStr">
        <is>
          <t>Starter annual yield assumption; verify exact site with PVGIS or Global Solar Atlas.</t>
        </is>
      </c>
    </row>
  </sheetData>
  <autoFilter ref="A1:E6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0" customWidth="1"/>
    <col min="3" max="3" width="22" customWidth="1"/>
    <col min="4" max="4" width="42" customWidth="1"/>
    <col min="5" max="5" width="42" customWidth="1"/>
    <col min="6" max="6" width="22" customWidth="1"/>
    <col min="7" max="7" width="78" customWidth="1"/>
  </cols>
  <sheetData>
    <row r="1">
      <c r="A1" t="inlineStr" s="1">
        <is>
          <t>region</t>
        </is>
      </c>
      <c r="B1" t="inlineStr" s="1">
        <is>
          <t>retail_tariff_rub_kwh</t>
        </is>
      </c>
      <c r="C1" t="inlineStr" s="1">
        <is>
          <t>export_tariff_rub_kwh</t>
        </is>
      </c>
      <c r="D1" t="inlineStr" s="1">
        <is>
          <t>retail_source_url</t>
        </is>
      </c>
      <c r="E1" t="inlineStr" s="1">
        <is>
          <t>export_source_url</t>
        </is>
      </c>
      <c r="F1" t="inlineStr" s="1">
        <is>
          <t>data_status</t>
        </is>
      </c>
      <c r="G1" t="inlineStr" s="1">
        <is>
          <t>notes</t>
        </is>
      </c>
    </row>
    <row r="2">
      <c r="A2" t="inlineStr">
        <is>
          <t>Moscow starter</t>
        </is>
      </c>
      <c r="B2">
        <v>8.5</v>
      </c>
      <c r="C2">
        <v>3.5</v>
      </c>
      <c r="D2" t="inlineStr">
        <is>
          <t>https://www.mosenergosbyt.ru/</t>
        </is>
      </c>
      <c r="E2" t="inlineStr">
        <is>
          <t>https://www.atsenergo.ru/</t>
        </is>
      </c>
      <c r="F2" t="inlineStr">
        <is>
          <t>seed_verify_source</t>
        </is>
      </c>
      <c r="G2" t="inlineStr">
        <is>
          <t>Retail tariff: verify with regional supplier/regulator. Export price: verify through ATS market-price data used for microgeneration surplus purchase.</t>
        </is>
      </c>
    </row>
    <row r="3">
      <c r="A3" t="inlineStr">
        <is>
          <t>Saint Petersburg starter</t>
        </is>
      </c>
      <c r="B3">
        <v>7.8</v>
      </c>
      <c r="C3">
        <v>3.3</v>
      </c>
      <c r="D3" t="inlineStr">
        <is>
          <t>https://www.pes.spb.ru/</t>
        </is>
      </c>
      <c r="E3" t="inlineStr">
        <is>
          <t>https://www.atsenergo.ru/</t>
        </is>
      </c>
      <c r="F3" t="inlineStr">
        <is>
          <t>seed_verify_source</t>
        </is>
      </c>
      <c r="G3" t="inlineStr">
        <is>
          <t>Retail tariff: verify with regional supplier/regulator. Export price: verify through ATS market-price data used for microgeneration surplus purchase.</t>
        </is>
      </c>
    </row>
    <row r="4">
      <c r="A4" t="inlineStr">
        <is>
          <t>Krasnodar starter</t>
        </is>
      </c>
      <c r="B4">
        <v>7.2</v>
      </c>
      <c r="C4">
        <v>3.2</v>
      </c>
      <c r="D4" t="inlineStr">
        <is>
          <t>https://kuban.tns-e.ru/</t>
        </is>
      </c>
      <c r="E4" t="inlineStr">
        <is>
          <t>https://www.atsenergo.ru/</t>
        </is>
      </c>
      <c r="F4" t="inlineStr">
        <is>
          <t>seed_verify_source</t>
        </is>
      </c>
      <c r="G4" t="inlineStr">
        <is>
          <t>Retail tariff: verify with regional supplier/regulator. Export price: verify through ATS market-price data used for microgeneration surplus purchase.</t>
        </is>
      </c>
    </row>
    <row r="5">
      <c r="A5" t="inlineStr">
        <is>
          <t>Rostov-on-Don starter</t>
        </is>
      </c>
      <c r="B5">
        <v>7.3</v>
      </c>
      <c r="C5">
        <v>3.2</v>
      </c>
      <c r="D5" t="inlineStr">
        <is>
          <t>https://rostov.tns-e.ru/</t>
        </is>
      </c>
      <c r="E5" t="inlineStr">
        <is>
          <t>https://www.atsenergo.ru/</t>
        </is>
      </c>
      <c r="F5" t="inlineStr">
        <is>
          <t>seed_verify_source</t>
        </is>
      </c>
      <c r="G5" t="inlineStr">
        <is>
          <t>Retail tariff: verify with regional supplier/regulator. Export price: verify through ATS market-price data used for microgeneration surplus purchase.</t>
        </is>
      </c>
    </row>
    <row r="6">
      <c r="A6" t="inlineStr">
        <is>
          <t>Yekaterinburg starter</t>
        </is>
      </c>
      <c r="B6">
        <v>7.0</v>
      </c>
      <c r="C6">
        <v>3.1</v>
      </c>
      <c r="D6" t="inlineStr">
        <is>
          <t>https://ekb.esplus.ru/</t>
        </is>
      </c>
      <c r="E6" t="inlineStr">
        <is>
          <t>https://www.atsenergo.ru/</t>
        </is>
      </c>
      <c r="F6" t="inlineStr">
        <is>
          <t>seed_verify_source</t>
        </is>
      </c>
      <c r="G6" t="inlineStr">
        <is>
          <t>Retail tariff: verify with regional supplier/regulator. Export price: verify through ATS market-price data used for microgeneration surplus purchase.</t>
        </is>
      </c>
    </row>
  </sheetData>
  <autoFilter ref="A1:G6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